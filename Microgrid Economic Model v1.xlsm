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4.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5.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drawings/drawing6.xml" ContentType="application/vnd.openxmlformats-officedocument.drawing+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drawings/drawing7.xml" ContentType="application/vnd.openxmlformats-officedocument.drawing+xml"/>
  <Override PartName="/xl/ctrlProps/ctrlProp18.xml" ContentType="application/vnd.ms-excel.controlproperties+xml"/>
  <Override PartName="/xl/ctrlProps/ctrlProp19.xml" ContentType="application/vnd.ms-excel.controlproperties+xml"/>
  <Override PartName="/xl/drawings/drawing8.xml" ContentType="application/vnd.openxmlformats-officedocument.drawing+xml"/>
  <Override PartName="/xl/ctrlProps/ctrlProp20.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drawings/drawing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430" codeName="{C5BBEA04-B48B-DB03-FC8F-E18A6752861A}"/>
  <workbookPr filterPrivacy="1" codeName="ThisWorkbook" autoCompressPictures="0"/>
  <xr:revisionPtr revIDLastSave="0" documentId="8_{BAA92D20-1169-4238-AEB6-3AD4665B1072}" xr6:coauthVersionLast="47" xr6:coauthVersionMax="47" xr10:uidLastSave="{00000000-0000-0000-0000-000000000000}"/>
  <bookViews>
    <workbookView xWindow="-108" yWindow="-108" windowWidth="23256" windowHeight="12576" firstSheet="3" activeTab="3" xr2:uid="{00000000-000D-0000-FFFF-FFFF00000000}"/>
  </bookViews>
  <sheets>
    <sheet name="Cover Sheet" sheetId="13" r:id="rId1"/>
    <sheet name="Notes" sheetId="15" r:id="rId2"/>
    <sheet name="Inputs&gt;&gt;" sheetId="2" r:id="rId3"/>
    <sheet name="General" sheetId="4" r:id="rId4"/>
    <sheet name="Plant Expenditure and Info" sheetId="3" r:id="rId5"/>
    <sheet name="Revenue &amp; Electricity Consump" sheetId="5" r:id="rId6"/>
    <sheet name="CO2 inputs" sheetId="6" r:id="rId7"/>
    <sheet name="Output&gt;&gt;" sheetId="10" r:id="rId8"/>
    <sheet name="Results" sheetId="11" r:id="rId9"/>
    <sheet name="Calculation&gt;&gt;" sheetId="1" r:id="rId10"/>
    <sheet name="Time" sheetId="8" r:id="rId11"/>
    <sheet name="Energy" sheetId="9" r:id="rId12"/>
    <sheet name="Cashflow" sheetId="7" r:id="rId13"/>
    <sheet name="Carbon Analysis &amp; Existing Fuel" sheetId="12" r:id="rId14"/>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13" i="8" l="1"/>
  <c r="G13" i="8" s="1"/>
  <c r="F4" i="8"/>
  <c r="F5" i="8"/>
  <c r="F9" i="8" s="1"/>
  <c r="G25" i="8" s="1"/>
  <c r="F14" i="8"/>
  <c r="G14" i="8" s="1"/>
  <c r="F141" i="7"/>
  <c r="F139" i="7"/>
  <c r="F71" i="7"/>
  <c r="F143" i="7" s="1"/>
  <c r="F73" i="7"/>
  <c r="F144" i="7" s="1"/>
  <c r="F150" i="7"/>
  <c r="F52" i="7"/>
  <c r="F142" i="7"/>
  <c r="F140" i="7"/>
  <c r="F77" i="7"/>
  <c r="F145" i="7" s="1"/>
  <c r="F151" i="7"/>
  <c r="F15" i="8"/>
  <c r="G15" i="8" s="1"/>
  <c r="F16" i="8"/>
  <c r="G16" i="8"/>
  <c r="F17" i="8"/>
  <c r="G17" i="8" s="1"/>
  <c r="F188" i="7"/>
  <c r="F191" i="7"/>
  <c r="Q45" i="9"/>
  <c r="P45" i="9"/>
  <c r="O45" i="9"/>
  <c r="N45" i="9"/>
  <c r="M45" i="9"/>
  <c r="L45" i="9"/>
  <c r="K45" i="9"/>
  <c r="J45" i="9"/>
  <c r="J62" i="9" s="1"/>
  <c r="F7" i="9"/>
  <c r="F14" i="9"/>
  <c r="F34" i="9"/>
  <c r="F17" i="9"/>
  <c r="F189" i="7"/>
  <c r="F192" i="7" s="1"/>
  <c r="F194" i="7" s="1"/>
  <c r="F196" i="7" s="1"/>
  <c r="F11" i="9"/>
  <c r="F15" i="9"/>
  <c r="F53" i="8"/>
  <c r="I57" i="8" s="1"/>
  <c r="M226" i="7" s="1"/>
  <c r="N57" i="8"/>
  <c r="R226" i="7" s="1"/>
  <c r="F20" i="8"/>
  <c r="F21" i="8"/>
  <c r="Q22" i="7"/>
  <c r="R22" i="7"/>
  <c r="P22" i="7"/>
  <c r="O22" i="7"/>
  <c r="N22" i="7"/>
  <c r="M22" i="7"/>
  <c r="L22" i="7"/>
  <c r="K22" i="7"/>
  <c r="J22" i="7"/>
  <c r="J23" i="7" s="1"/>
  <c r="F19" i="7"/>
  <c r="F20" i="7"/>
  <c r="F21" i="7"/>
  <c r="F232" i="7"/>
  <c r="F13" i="7"/>
  <c r="J15" i="7" s="1"/>
  <c r="F26" i="11" s="1"/>
  <c r="F14" i="7"/>
  <c r="G57" i="8"/>
  <c r="K226" i="7" s="1"/>
  <c r="J57" i="8"/>
  <c r="N226" i="7" s="1"/>
  <c r="K57" i="8"/>
  <c r="O226" i="7" s="1"/>
  <c r="L57" i="8"/>
  <c r="P226" i="7" s="1"/>
  <c r="M57" i="8"/>
  <c r="Q226" i="7" s="1"/>
  <c r="R45" i="9"/>
  <c r="F31" i="7"/>
  <c r="F32" i="7"/>
  <c r="F28" i="7"/>
  <c r="S22" i="7"/>
  <c r="S45" i="9"/>
  <c r="P57" i="8"/>
  <c r="T226" i="7" s="1"/>
  <c r="T22" i="7"/>
  <c r="F53" i="7"/>
  <c r="T45" i="9"/>
  <c r="Q57" i="8"/>
  <c r="U226" i="7" s="1"/>
  <c r="U22" i="7"/>
  <c r="U45" i="9"/>
  <c r="R57" i="8"/>
  <c r="V226" i="7"/>
  <c r="V22" i="7"/>
  <c r="J231" i="7"/>
  <c r="V45" i="9"/>
  <c r="S57" i="8"/>
  <c r="W226" i="7"/>
  <c r="W22" i="7"/>
  <c r="W45" i="9"/>
  <c r="T57" i="8"/>
  <c r="X226" i="7" s="1"/>
  <c r="X22" i="7"/>
  <c r="X45" i="9"/>
  <c r="U57" i="8"/>
  <c r="Y226" i="7" s="1"/>
  <c r="Y22" i="7"/>
  <c r="F54" i="7"/>
  <c r="Y45" i="9"/>
  <c r="V57" i="8"/>
  <c r="Z226" i="7" s="1"/>
  <c r="Z22" i="7"/>
  <c r="Z45" i="9"/>
  <c r="W57" i="8"/>
  <c r="AA226" i="7" s="1"/>
  <c r="AA22" i="7"/>
  <c r="AA45" i="9"/>
  <c r="X57" i="8"/>
  <c r="AB226" i="7" s="1"/>
  <c r="F37" i="7"/>
  <c r="F38" i="7"/>
  <c r="AB22" i="7"/>
  <c r="AB45" i="9"/>
  <c r="Y57" i="8"/>
  <c r="AC226" i="7" s="1"/>
  <c r="AC22" i="7"/>
  <c r="AC45" i="9"/>
  <c r="Z57" i="8"/>
  <c r="AD226" i="7" s="1"/>
  <c r="AD22" i="7"/>
  <c r="F55" i="7"/>
  <c r="AD45" i="9"/>
  <c r="AA57" i="8"/>
  <c r="AE226" i="7" s="1"/>
  <c r="AE22" i="7"/>
  <c r="AE45" i="9"/>
  <c r="AB57" i="8"/>
  <c r="AF226" i="7" s="1"/>
  <c r="AF22" i="7"/>
  <c r="AF45" i="9"/>
  <c r="AC57" i="8"/>
  <c r="AG226" i="7" s="1"/>
  <c r="AG22" i="7"/>
  <c r="AG45" i="9"/>
  <c r="AD57" i="8"/>
  <c r="AH226" i="7" s="1"/>
  <c r="AH22" i="7"/>
  <c r="AH45" i="9"/>
  <c r="AE57" i="8"/>
  <c r="AI226" i="7" s="1"/>
  <c r="AI22" i="7"/>
  <c r="F7" i="3"/>
  <c r="F3" i="7" s="1"/>
  <c r="E258" i="7" s="1"/>
  <c r="F23" i="9"/>
  <c r="J54" i="9" s="1"/>
  <c r="K54" i="9" s="1"/>
  <c r="F20" i="9"/>
  <c r="F22" i="9"/>
  <c r="F27" i="9"/>
  <c r="F28" i="9"/>
  <c r="AI45" i="9"/>
  <c r="G21" i="7"/>
  <c r="E21" i="7"/>
  <c r="G28" i="9"/>
  <c r="E28" i="9"/>
  <c r="G27" i="9"/>
  <c r="E27" i="9"/>
  <c r="E26" i="9"/>
  <c r="F26" i="9"/>
  <c r="F25" i="9"/>
  <c r="E25" i="9"/>
  <c r="E20" i="9"/>
  <c r="G20" i="9"/>
  <c r="E21" i="9"/>
  <c r="F21" i="9"/>
  <c r="G21" i="9"/>
  <c r="E22" i="9"/>
  <c r="G22" i="9"/>
  <c r="G23" i="9"/>
  <c r="E23" i="9"/>
  <c r="A1" i="15"/>
  <c r="E9" i="11"/>
  <c r="G5" i="8"/>
  <c r="G9" i="8" s="1"/>
  <c r="E5" i="8"/>
  <c r="E9" i="8" s="1"/>
  <c r="E4" i="8"/>
  <c r="E8" i="8" s="1"/>
  <c r="E10" i="8"/>
  <c r="F11" i="11"/>
  <c r="F12" i="12"/>
  <c r="F28" i="12" s="1"/>
  <c r="F13" i="12"/>
  <c r="F19" i="12"/>
  <c r="F20" i="12"/>
  <c r="F15" i="12"/>
  <c r="F4" i="12"/>
  <c r="F5" i="12"/>
  <c r="E7" i="11"/>
  <c r="E11" i="11"/>
  <c r="E15" i="11"/>
  <c r="E13" i="11"/>
  <c r="P55" i="11"/>
  <c r="P54" i="11"/>
  <c r="Q59" i="11"/>
  <c r="O59" i="11"/>
  <c r="Q57" i="11"/>
  <c r="O57" i="11"/>
  <c r="G60" i="11"/>
  <c r="E60" i="11"/>
  <c r="E59" i="11"/>
  <c r="F57" i="11"/>
  <c r="E57" i="11"/>
  <c r="F56" i="11"/>
  <c r="E56" i="11"/>
  <c r="F55" i="11"/>
  <c r="E55" i="11"/>
  <c r="F54" i="11"/>
  <c r="E54" i="11"/>
  <c r="F53" i="11"/>
  <c r="G49" i="11"/>
  <c r="E49" i="11"/>
  <c r="E48" i="11"/>
  <c r="F46" i="11"/>
  <c r="E46" i="11"/>
  <c r="F45" i="11"/>
  <c r="E45" i="11"/>
  <c r="F43" i="11"/>
  <c r="G39" i="11"/>
  <c r="E39" i="11"/>
  <c r="E38" i="11"/>
  <c r="E35" i="11"/>
  <c r="F35" i="11"/>
  <c r="E36" i="11"/>
  <c r="F36" i="11"/>
  <c r="F33" i="11"/>
  <c r="E3" i="11"/>
  <c r="F22" i="11"/>
  <c r="E22" i="11"/>
  <c r="E19" i="11"/>
  <c r="F18" i="11"/>
  <c r="E18" i="11"/>
  <c r="F15" i="11"/>
  <c r="F13" i="11"/>
  <c r="F25" i="11"/>
  <c r="F9" i="11"/>
  <c r="F7" i="11"/>
  <c r="I74" i="12"/>
  <c r="E74" i="12"/>
  <c r="I73" i="12"/>
  <c r="E73" i="12"/>
  <c r="I72" i="12"/>
  <c r="E72" i="12"/>
  <c r="A1" i="13"/>
  <c r="A1" i="1"/>
  <c r="A1" i="10"/>
  <c r="A1" i="2"/>
  <c r="F293" i="7"/>
  <c r="I293" i="7"/>
  <c r="E293" i="7"/>
  <c r="F292" i="7"/>
  <c r="I292" i="7"/>
  <c r="E292" i="7"/>
  <c r="F291" i="7"/>
  <c r="I291" i="7"/>
  <c r="E291" i="7"/>
  <c r="F286" i="7"/>
  <c r="E286" i="7"/>
  <c r="F281" i="7"/>
  <c r="E281" i="7"/>
  <c r="E289" i="7"/>
  <c r="F289" i="7"/>
  <c r="G289" i="7"/>
  <c r="F288" i="7"/>
  <c r="G288" i="7"/>
  <c r="E288" i="7"/>
  <c r="F283" i="7"/>
  <c r="F284" i="7"/>
  <c r="G284" i="7"/>
  <c r="F285" i="7"/>
  <c r="J295" i="7" s="1"/>
  <c r="K295" i="7" s="1"/>
  <c r="L295" i="7" s="1"/>
  <c r="M295" i="7" s="1"/>
  <c r="N295" i="7" s="1"/>
  <c r="O295" i="7" s="1"/>
  <c r="P295" i="7" s="1"/>
  <c r="Q295" i="7" s="1"/>
  <c r="R295" i="7" s="1"/>
  <c r="S295" i="7" s="1"/>
  <c r="T295" i="7" s="1"/>
  <c r="U295" i="7" s="1"/>
  <c r="V295" i="7" s="1"/>
  <c r="W295" i="7" s="1"/>
  <c r="X295" i="7" s="1"/>
  <c r="Y295" i="7" s="1"/>
  <c r="Z295" i="7" s="1"/>
  <c r="AA295" i="7" s="1"/>
  <c r="AB295" i="7" s="1"/>
  <c r="AC295" i="7" s="1"/>
  <c r="AD295" i="7" s="1"/>
  <c r="AE295" i="7" s="1"/>
  <c r="AF295" i="7" s="1"/>
  <c r="AG295" i="7" s="1"/>
  <c r="AH295" i="7" s="1"/>
  <c r="AI295" i="7" s="1"/>
  <c r="E284" i="7"/>
  <c r="E285" i="7"/>
  <c r="E283" i="7"/>
  <c r="F278" i="7"/>
  <c r="F279" i="7"/>
  <c r="G279" i="7"/>
  <c r="F280" i="7"/>
  <c r="E280" i="7"/>
  <c r="E278" i="7"/>
  <c r="E279" i="7"/>
  <c r="E54" i="12"/>
  <c r="K53" i="12"/>
  <c r="L53" i="12"/>
  <c r="M53" i="12"/>
  <c r="N53" i="12"/>
  <c r="O53" i="12"/>
  <c r="P53" i="12"/>
  <c r="Q53" i="12"/>
  <c r="R53" i="12"/>
  <c r="S53" i="12"/>
  <c r="T53" i="12"/>
  <c r="U53" i="12"/>
  <c r="V53" i="12"/>
  <c r="W53" i="12"/>
  <c r="X53" i="12"/>
  <c r="Y53" i="12"/>
  <c r="Z53" i="12"/>
  <c r="AA53" i="12"/>
  <c r="AB53" i="12"/>
  <c r="AC53" i="12"/>
  <c r="AD53" i="12"/>
  <c r="AE53" i="12"/>
  <c r="AF53" i="12"/>
  <c r="AG53" i="12"/>
  <c r="AH53" i="12"/>
  <c r="AI53" i="12"/>
  <c r="J53" i="12"/>
  <c r="G53" i="12"/>
  <c r="F46" i="12"/>
  <c r="G46" i="12"/>
  <c r="E46" i="12"/>
  <c r="G5" i="12"/>
  <c r="E5" i="12"/>
  <c r="G33" i="4"/>
  <c r="G285" i="7" s="1"/>
  <c r="G29" i="4"/>
  <c r="G280" i="7" s="1"/>
  <c r="E15" i="12"/>
  <c r="F10" i="12"/>
  <c r="E10" i="12"/>
  <c r="G4" i="12"/>
  <c r="E4" i="12"/>
  <c r="E17" i="12"/>
  <c r="F17" i="12"/>
  <c r="G17" i="12"/>
  <c r="E18" i="12"/>
  <c r="F18" i="12"/>
  <c r="G18" i="12"/>
  <c r="E19" i="12"/>
  <c r="G19" i="12"/>
  <c r="E20" i="12"/>
  <c r="G20" i="12"/>
  <c r="G13" i="12"/>
  <c r="E13" i="12"/>
  <c r="E14" i="12"/>
  <c r="F14" i="12"/>
  <c r="F67" i="12" s="1"/>
  <c r="F70" i="12" s="1"/>
  <c r="E12" i="12"/>
  <c r="E66" i="12" s="1"/>
  <c r="G8" i="12"/>
  <c r="E8" i="12"/>
  <c r="F8" i="12"/>
  <c r="E9" i="12"/>
  <c r="F9" i="12"/>
  <c r="F64" i="12" s="1"/>
  <c r="F69" i="12" s="1"/>
  <c r="F7" i="12"/>
  <c r="F63" i="12" s="1"/>
  <c r="E7" i="12"/>
  <c r="E63" i="12" s="1"/>
  <c r="E3" i="12"/>
  <c r="A1" i="12"/>
  <c r="E76" i="7"/>
  <c r="F76" i="7"/>
  <c r="F19" i="11" s="1"/>
  <c r="E72" i="7"/>
  <c r="F72" i="7"/>
  <c r="F74" i="7" s="1"/>
  <c r="G22" i="11" s="1"/>
  <c r="F66" i="12"/>
  <c r="E256" i="7"/>
  <c r="E247" i="7"/>
  <c r="E238" i="7"/>
  <c r="E235" i="7"/>
  <c r="G232" i="7"/>
  <c r="E232" i="7"/>
  <c r="E226" i="7"/>
  <c r="E189" i="7"/>
  <c r="E188" i="7"/>
  <c r="E207" i="7"/>
  <c r="G207" i="7"/>
  <c r="G206" i="7"/>
  <c r="E206" i="7"/>
  <c r="E151" i="7"/>
  <c r="E150" i="7"/>
  <c r="E140" i="7"/>
  <c r="G140" i="7"/>
  <c r="G139" i="7"/>
  <c r="E139" i="7"/>
  <c r="G204" i="7"/>
  <c r="G205" i="7"/>
  <c r="E205" i="7"/>
  <c r="E204" i="7"/>
  <c r="E142" i="7"/>
  <c r="G142" i="7"/>
  <c r="G141" i="7"/>
  <c r="E141" i="7"/>
  <c r="E135" i="7"/>
  <c r="E102" i="7"/>
  <c r="F102" i="7"/>
  <c r="F105" i="7" s="1"/>
  <c r="F107" i="7" s="1"/>
  <c r="F109" i="7" s="1"/>
  <c r="F111" i="7" s="1"/>
  <c r="F113" i="7" s="1"/>
  <c r="F101" i="7"/>
  <c r="F104" i="7" s="1"/>
  <c r="F106" i="7" s="1"/>
  <c r="F108" i="7" s="1"/>
  <c r="F110" i="7" s="1"/>
  <c r="F112" i="7" s="1"/>
  <c r="F114" i="7" s="1"/>
  <c r="E101" i="7"/>
  <c r="E96" i="7"/>
  <c r="E53" i="8"/>
  <c r="F52" i="8"/>
  <c r="AC56" i="8" s="1"/>
  <c r="AG135" i="7" s="1"/>
  <c r="E52" i="8"/>
  <c r="F51" i="8"/>
  <c r="AE55" i="8" s="1"/>
  <c r="AI96" i="7" s="1"/>
  <c r="E51" i="8"/>
  <c r="E77" i="7"/>
  <c r="E145" i="7" s="1"/>
  <c r="E73" i="7"/>
  <c r="E144" i="7" s="1"/>
  <c r="G71" i="7"/>
  <c r="G143" i="7" s="1"/>
  <c r="E71" i="7"/>
  <c r="E143" i="7" s="1"/>
  <c r="G118" i="7"/>
  <c r="G119" i="7"/>
  <c r="E119" i="7"/>
  <c r="E118" i="7"/>
  <c r="E64" i="7"/>
  <c r="E216" i="7"/>
  <c r="E63" i="7"/>
  <c r="E215" i="7" s="1"/>
  <c r="E62" i="7"/>
  <c r="E214" i="7" s="1"/>
  <c r="E61" i="7"/>
  <c r="E213" i="7" s="1"/>
  <c r="E59" i="7"/>
  <c r="E211" i="7" s="1"/>
  <c r="E60" i="7"/>
  <c r="E212" i="7" s="1"/>
  <c r="E70" i="7"/>
  <c r="F70" i="7"/>
  <c r="F69" i="7"/>
  <c r="F80" i="7" s="1"/>
  <c r="E69" i="7"/>
  <c r="G53" i="7"/>
  <c r="G54" i="7"/>
  <c r="G55" i="7"/>
  <c r="F56" i="7"/>
  <c r="G56" i="7"/>
  <c r="G52" i="7"/>
  <c r="D51" i="7"/>
  <c r="G54" i="12"/>
  <c r="E45" i="9"/>
  <c r="G34" i="9"/>
  <c r="E34" i="9"/>
  <c r="J40" i="9"/>
  <c r="F10" i="9"/>
  <c r="F12" i="9" s="1"/>
  <c r="E11" i="9"/>
  <c r="E10" i="9"/>
  <c r="E7" i="9"/>
  <c r="F6" i="9"/>
  <c r="F8" i="9"/>
  <c r="E6" i="9"/>
  <c r="F4" i="9"/>
  <c r="E4" i="9"/>
  <c r="E41" i="9"/>
  <c r="E15" i="9"/>
  <c r="G15" i="9"/>
  <c r="E17" i="9"/>
  <c r="G17" i="9"/>
  <c r="E18" i="9"/>
  <c r="F18" i="9"/>
  <c r="G18" i="9"/>
  <c r="G14" i="9"/>
  <c r="E14" i="9"/>
  <c r="A1" i="9"/>
  <c r="F23" i="11"/>
  <c r="F81" i="7"/>
  <c r="F78" i="7"/>
  <c r="G23" i="11" s="1"/>
  <c r="E176" i="7"/>
  <c r="E126" i="7"/>
  <c r="E178" i="7"/>
  <c r="E125" i="7"/>
  <c r="E177" i="7"/>
  <c r="E124" i="7"/>
  <c r="N55" i="8"/>
  <c r="R96" i="7" s="1"/>
  <c r="AA55" i="8"/>
  <c r="AE96" i="7" s="1"/>
  <c r="Z56" i="8"/>
  <c r="AD135" i="7" s="1"/>
  <c r="G28" i="7"/>
  <c r="E28" i="7"/>
  <c r="E38" i="7"/>
  <c r="E37" i="7"/>
  <c r="E32" i="7"/>
  <c r="E31" i="7"/>
  <c r="E36" i="7"/>
  <c r="F36" i="7"/>
  <c r="F30" i="7"/>
  <c r="E30" i="7"/>
  <c r="E22" i="7"/>
  <c r="G20" i="7"/>
  <c r="E20" i="7"/>
  <c r="G14" i="7"/>
  <c r="E14" i="7"/>
  <c r="F27" i="7"/>
  <c r="E27" i="7"/>
  <c r="E19" i="7"/>
  <c r="J5" i="7"/>
  <c r="E6" i="7"/>
  <c r="A1" i="7"/>
  <c r="E21" i="8"/>
  <c r="E47" i="8"/>
  <c r="E39" i="7" s="1"/>
  <c r="E20" i="8"/>
  <c r="E45" i="8"/>
  <c r="E33" i="7" s="1"/>
  <c r="E14" i="8"/>
  <c r="E15" i="8"/>
  <c r="E16" i="8"/>
  <c r="E17" i="8"/>
  <c r="E13" i="8"/>
  <c r="A1" i="8"/>
  <c r="E59" i="9"/>
  <c r="E60" i="5"/>
  <c r="E52" i="7" s="1"/>
  <c r="E61" i="5"/>
  <c r="E53" i="7" s="1"/>
  <c r="E62" i="5"/>
  <c r="E54" i="7" s="1"/>
  <c r="E63" i="5"/>
  <c r="E55" i="7" s="1"/>
  <c r="E64" i="5"/>
  <c r="E56" i="7" s="1"/>
  <c r="A1" i="6"/>
  <c r="F7" i="5"/>
  <c r="G45" i="5" s="1"/>
  <c r="E7" i="5"/>
  <c r="A1" i="5"/>
  <c r="A1" i="3"/>
  <c r="A1" i="4"/>
  <c r="F3" i="12"/>
  <c r="G70" i="12" s="1"/>
  <c r="G45" i="3"/>
  <c r="G31" i="7" s="1"/>
  <c r="G51" i="3"/>
  <c r="G37" i="7" s="1"/>
  <c r="G47" i="3"/>
  <c r="G32" i="7" s="1"/>
  <c r="G53" i="3"/>
  <c r="G38" i="7" s="1"/>
  <c r="G24" i="3"/>
  <c r="G26" i="3"/>
  <c r="G21" i="3"/>
  <c r="G18" i="3"/>
  <c r="G22" i="3"/>
  <c r="G27" i="3"/>
  <c r="G19" i="3"/>
  <c r="G23" i="3"/>
  <c r="G32" i="3"/>
  <c r="G19" i="7"/>
  <c r="G23" i="7" s="1"/>
  <c r="G44" i="7" s="1"/>
  <c r="G47" i="7" s="1"/>
  <c r="G235" i="7" s="1"/>
  <c r="G20" i="3"/>
  <c r="G25" i="3"/>
  <c r="E240" i="7"/>
  <c r="G258" i="7"/>
  <c r="G248" i="7"/>
  <c r="G240" i="7"/>
  <c r="G257" i="7"/>
  <c r="G250" i="7"/>
  <c r="G259" i="7"/>
  <c r="G249" i="7"/>
  <c r="G272" i="7"/>
  <c r="G239" i="7"/>
  <c r="E242" i="7"/>
  <c r="E260" i="7"/>
  <c r="E251" i="7"/>
  <c r="G80" i="7"/>
  <c r="G81" i="7"/>
  <c r="G79" i="12"/>
  <c r="G78" i="12"/>
  <c r="G67" i="12"/>
  <c r="G69" i="12"/>
  <c r="G64" i="12"/>
  <c r="G261" i="7"/>
  <c r="G59" i="11" s="1"/>
  <c r="G251" i="7"/>
  <c r="G243" i="7"/>
  <c r="G260" i="7"/>
  <c r="G252" i="7"/>
  <c r="G242" i="7"/>
  <c r="G224" i="7"/>
  <c r="G136" i="7"/>
  <c r="G241" i="7"/>
  <c r="G97" i="7"/>
  <c r="G72" i="12" s="1"/>
  <c r="G220" i="7"/>
  <c r="G186" i="7"/>
  <c r="G223" i="7"/>
  <c r="G219" i="7"/>
  <c r="G222" i="7"/>
  <c r="G227" i="7"/>
  <c r="G293" i="7" s="1"/>
  <c r="G221" i="7"/>
  <c r="G218" i="7"/>
  <c r="G185" i="7"/>
  <c r="G181" i="7"/>
  <c r="G184" i="7"/>
  <c r="G180" i="7"/>
  <c r="G182" i="7"/>
  <c r="G183" i="7"/>
  <c r="G130" i="7"/>
  <c r="G93" i="7"/>
  <c r="G89" i="7"/>
  <c r="G131" i="7"/>
  <c r="G92" i="7"/>
  <c r="G129" i="7"/>
  <c r="G91" i="7"/>
  <c r="G132" i="7"/>
  <c r="G90" i="7"/>
  <c r="G128" i="7"/>
  <c r="G94" i="7"/>
  <c r="G133" i="7"/>
  <c r="G86" i="7"/>
  <c r="G82" i="7"/>
  <c r="G85" i="7"/>
  <c r="G83" i="7"/>
  <c r="G84" i="7"/>
  <c r="G87" i="7"/>
  <c r="G13" i="7"/>
  <c r="G15" i="7"/>
  <c r="G48" i="11"/>
  <c r="G38" i="11"/>
  <c r="G256" i="7"/>
  <c r="G247" i="7"/>
  <c r="F32" i="9" l="1"/>
  <c r="F36" i="9" s="1"/>
  <c r="K48" i="9" s="1"/>
  <c r="F33" i="9"/>
  <c r="F37" i="9" s="1"/>
  <c r="F25" i="12"/>
  <c r="F33" i="12" s="1"/>
  <c r="S55" i="8"/>
  <c r="W96" i="7" s="1"/>
  <c r="T55" i="8"/>
  <c r="X96" i="7" s="1"/>
  <c r="O57" i="8"/>
  <c r="S226" i="7" s="1"/>
  <c r="G48" i="5"/>
  <c r="G57" i="11" s="1"/>
  <c r="E56" i="9"/>
  <c r="G9" i="12"/>
  <c r="F193" i="7"/>
  <c r="F195" i="7" s="1"/>
  <c r="F115" i="7"/>
  <c r="K55" i="8"/>
  <c r="O96" i="7" s="1"/>
  <c r="AB55" i="8"/>
  <c r="AF96" i="7" s="1"/>
  <c r="G43" i="5"/>
  <c r="G46" i="11" s="1"/>
  <c r="G46" i="5"/>
  <c r="F56" i="8"/>
  <c r="J135" i="7" s="1"/>
  <c r="J136" i="7" s="1"/>
  <c r="J73" i="12" s="1"/>
  <c r="AD55" i="8"/>
  <c r="AH96" i="7" s="1"/>
  <c r="E123" i="7"/>
  <c r="G39" i="5"/>
  <c r="G69" i="7" s="1"/>
  <c r="AD56" i="8"/>
  <c r="AH135" i="7" s="1"/>
  <c r="V55" i="8"/>
  <c r="Z96" i="7" s="1"/>
  <c r="F26" i="12"/>
  <c r="F34" i="12" s="1"/>
  <c r="G291" i="7"/>
  <c r="G74" i="12"/>
  <c r="G14" i="12"/>
  <c r="E249" i="7"/>
  <c r="F36" i="12"/>
  <c r="G77" i="12"/>
  <c r="V54" i="11" s="1"/>
  <c r="G35" i="11"/>
  <c r="J296" i="7"/>
  <c r="K296" i="7" s="1"/>
  <c r="L296" i="7" s="1"/>
  <c r="M296" i="7" s="1"/>
  <c r="N296" i="7" s="1"/>
  <c r="O296" i="7" s="1"/>
  <c r="P296" i="7" s="1"/>
  <c r="Q296" i="7" s="1"/>
  <c r="R296" i="7" s="1"/>
  <c r="S296" i="7" s="1"/>
  <c r="T296" i="7" s="1"/>
  <c r="U296" i="7" s="1"/>
  <c r="V296" i="7" s="1"/>
  <c r="W296" i="7" s="1"/>
  <c r="X296" i="7" s="1"/>
  <c r="Y296" i="7" s="1"/>
  <c r="Z296" i="7" s="1"/>
  <c r="AA296" i="7" s="1"/>
  <c r="AB296" i="7" s="1"/>
  <c r="AC296" i="7" s="1"/>
  <c r="AD296" i="7" s="1"/>
  <c r="AE296" i="7" s="1"/>
  <c r="AF296" i="7" s="1"/>
  <c r="AG296" i="7" s="1"/>
  <c r="AH296" i="7" s="1"/>
  <c r="AI296" i="7" s="1"/>
  <c r="F29" i="12"/>
  <c r="F37" i="12" s="1"/>
  <c r="K5" i="7"/>
  <c r="K40" i="9"/>
  <c r="K231" i="7"/>
  <c r="G150" i="7"/>
  <c r="G54" i="11"/>
  <c r="K233" i="7"/>
  <c r="G238" i="7"/>
  <c r="G189" i="7"/>
  <c r="G40" i="5"/>
  <c r="G47" i="5"/>
  <c r="E173" i="7"/>
  <c r="F30" i="12"/>
  <c r="F38" i="12" s="1"/>
  <c r="J233" i="7"/>
  <c r="F6" i="8"/>
  <c r="F10" i="8" s="1"/>
  <c r="G42" i="5"/>
  <c r="E121" i="7"/>
  <c r="F24" i="12"/>
  <c r="F32" i="12" s="1"/>
  <c r="F40" i="12" s="1"/>
  <c r="F43" i="12" s="1"/>
  <c r="Q54" i="11" s="1"/>
  <c r="K23" i="7"/>
  <c r="F82" i="7"/>
  <c r="F83" i="7" s="1"/>
  <c r="F84" i="7" s="1"/>
  <c r="F85" i="7" s="1"/>
  <c r="F86" i="7" s="1"/>
  <c r="F87" i="7" s="1"/>
  <c r="G73" i="12"/>
  <c r="G292" i="7"/>
  <c r="G55" i="11"/>
  <c r="G151" i="7"/>
  <c r="Y56" i="8"/>
  <c r="AC135" i="7" s="1"/>
  <c r="Q56" i="8"/>
  <c r="U135" i="7" s="1"/>
  <c r="I56" i="8"/>
  <c r="M135" i="7" s="1"/>
  <c r="X56" i="8"/>
  <c r="AB135" i="7" s="1"/>
  <c r="P56" i="8"/>
  <c r="T135" i="7" s="1"/>
  <c r="H56" i="8"/>
  <c r="L135" i="7" s="1"/>
  <c r="AA56" i="8"/>
  <c r="AE135" i="7" s="1"/>
  <c r="S56" i="8"/>
  <c r="W135" i="7" s="1"/>
  <c r="K56" i="8"/>
  <c r="O135" i="7" s="1"/>
  <c r="V56" i="8"/>
  <c r="Z135" i="7" s="1"/>
  <c r="F55" i="8"/>
  <c r="J96" i="7" s="1"/>
  <c r="J97" i="7" s="1"/>
  <c r="Y55" i="8"/>
  <c r="AC96" i="7" s="1"/>
  <c r="Q55" i="8"/>
  <c r="U96" i="7" s="1"/>
  <c r="I55" i="8"/>
  <c r="M96" i="7" s="1"/>
  <c r="H55" i="8"/>
  <c r="L96" i="7" s="1"/>
  <c r="L54" i="9"/>
  <c r="R56" i="8"/>
  <c r="V135" i="7" s="1"/>
  <c r="N56" i="8"/>
  <c r="R135" i="7" s="1"/>
  <c r="J56" i="8"/>
  <c r="N135" i="7" s="1"/>
  <c r="W55" i="8"/>
  <c r="AA96" i="7" s="1"/>
  <c r="O55" i="8"/>
  <c r="S96" i="7" s="1"/>
  <c r="G55" i="8"/>
  <c r="K96" i="7" s="1"/>
  <c r="X55" i="8"/>
  <c r="AB96" i="7" s="1"/>
  <c r="P55" i="8"/>
  <c r="T96" i="7" s="1"/>
  <c r="Z55" i="8"/>
  <c r="AD96" i="7" s="1"/>
  <c r="R55" i="8"/>
  <c r="V96" i="7" s="1"/>
  <c r="J55" i="8"/>
  <c r="N96" i="7" s="1"/>
  <c r="E174" i="7"/>
  <c r="E23" i="11"/>
  <c r="U56" i="8"/>
  <c r="Y135" i="7" s="1"/>
  <c r="M56" i="8"/>
  <c r="Q135" i="7" s="1"/>
  <c r="AB56" i="8"/>
  <c r="AF135" i="7" s="1"/>
  <c r="T56" i="8"/>
  <c r="X135" i="7" s="1"/>
  <c r="L56" i="8"/>
  <c r="P135" i="7" s="1"/>
  <c r="AE56" i="8"/>
  <c r="AI135" i="7" s="1"/>
  <c r="W56" i="8"/>
  <c r="AA135" i="7" s="1"/>
  <c r="O56" i="8"/>
  <c r="S135" i="7" s="1"/>
  <c r="G56" i="8"/>
  <c r="K135" i="7" s="1"/>
  <c r="AC55" i="8"/>
  <c r="AG96" i="7" s="1"/>
  <c r="U55" i="8"/>
  <c r="Y96" i="7" s="1"/>
  <c r="M55" i="8"/>
  <c r="Q96" i="7" s="1"/>
  <c r="L55" i="8"/>
  <c r="P96" i="7" s="1"/>
  <c r="E122" i="7"/>
  <c r="E175" i="7"/>
  <c r="F197" i="7"/>
  <c r="F199" i="7" s="1"/>
  <c r="F201" i="7" s="1"/>
  <c r="F198" i="7"/>
  <c r="F200" i="7" s="1"/>
  <c r="F202" i="7" s="1"/>
  <c r="F147" i="7"/>
  <c r="J48" i="9"/>
  <c r="H57" i="8"/>
  <c r="L226" i="7" s="1"/>
  <c r="F57" i="8"/>
  <c r="J226" i="7" s="1"/>
  <c r="F148" i="7"/>
  <c r="H25" i="8"/>
  <c r="L23" i="7"/>
  <c r="F8" i="8"/>
  <c r="J247" i="7" l="1"/>
  <c r="F41" i="12"/>
  <c r="F44" i="12" s="1"/>
  <c r="Q55" i="11" s="1"/>
  <c r="G102" i="7"/>
  <c r="J292" i="7"/>
  <c r="V56" i="11"/>
  <c r="V55" i="11"/>
  <c r="G101" i="7"/>
  <c r="G45" i="11"/>
  <c r="G188" i="7"/>
  <c r="G56" i="11"/>
  <c r="G70" i="7"/>
  <c r="G36" i="11"/>
  <c r="K204" i="7"/>
  <c r="K118" i="7"/>
  <c r="L48" i="9"/>
  <c r="I25" i="8"/>
  <c r="L231" i="7"/>
  <c r="L233" i="7" s="1"/>
  <c r="L40" i="9"/>
  <c r="L5" i="7"/>
  <c r="F206" i="7"/>
  <c r="F153" i="7"/>
  <c r="F154" i="7"/>
  <c r="F156" i="7" s="1"/>
  <c r="F158" i="7" s="1"/>
  <c r="F160" i="7" s="1"/>
  <c r="F162" i="7" s="1"/>
  <c r="F164" i="7" s="1"/>
  <c r="F207" i="7"/>
  <c r="M54" i="9"/>
  <c r="F26" i="8"/>
  <c r="J72" i="12"/>
  <c r="J238" i="7"/>
  <c r="J291" i="7"/>
  <c r="K49" i="9"/>
  <c r="L49" i="9" s="1"/>
  <c r="J204" i="7"/>
  <c r="J49" i="9"/>
  <c r="J51" i="9" s="1"/>
  <c r="J118" i="7"/>
  <c r="M23" i="7"/>
  <c r="N23" i="7" s="1"/>
  <c r="O23" i="7" s="1"/>
  <c r="P23" i="7" s="1"/>
  <c r="Q23" i="7" s="1"/>
  <c r="R23" i="7" s="1"/>
  <c r="S23" i="7" s="1"/>
  <c r="T23" i="7" s="1"/>
  <c r="U23" i="7" s="1"/>
  <c r="V23" i="7" s="1"/>
  <c r="W23" i="7" s="1"/>
  <c r="X23" i="7" s="1"/>
  <c r="Y23" i="7" s="1"/>
  <c r="Z23" i="7" s="1"/>
  <c r="AA23" i="7" s="1"/>
  <c r="AB23" i="7" s="1"/>
  <c r="AC23" i="7" s="1"/>
  <c r="AD23" i="7" s="1"/>
  <c r="AE23" i="7" s="1"/>
  <c r="AF23" i="7" s="1"/>
  <c r="AG23" i="7" s="1"/>
  <c r="AH23" i="7" s="1"/>
  <c r="AI23" i="7" s="1"/>
  <c r="F47" i="12" l="1"/>
  <c r="P57" i="11" s="1"/>
  <c r="G192" i="7"/>
  <c r="G191" i="7"/>
  <c r="G111" i="7"/>
  <c r="G114" i="7"/>
  <c r="G113" i="7"/>
  <c r="G274" i="7"/>
  <c r="G30" i="11" s="1"/>
  <c r="G109" i="7"/>
  <c r="G106" i="7"/>
  <c r="G107" i="7"/>
  <c r="G115" i="7"/>
  <c r="G108" i="7"/>
  <c r="G112" i="7"/>
  <c r="G110" i="7"/>
  <c r="G104" i="7"/>
  <c r="G105" i="7"/>
  <c r="L205" i="7"/>
  <c r="L209" i="7" s="1"/>
  <c r="L119" i="7"/>
  <c r="J54" i="12"/>
  <c r="J55" i="12" s="1"/>
  <c r="J41" i="9"/>
  <c r="J51" i="12"/>
  <c r="J6" i="7"/>
  <c r="G26" i="8"/>
  <c r="F47" i="8"/>
  <c r="F45" i="8"/>
  <c r="N54" i="9"/>
  <c r="F155" i="7"/>
  <c r="F166" i="7"/>
  <c r="K51" i="9"/>
  <c r="K54" i="12" s="1"/>
  <c r="K55" i="12" s="1"/>
  <c r="J119" i="7"/>
  <c r="J205" i="7"/>
  <c r="H23" i="7"/>
  <c r="F27" i="11" s="1"/>
  <c r="J25" i="8"/>
  <c r="M231" i="7"/>
  <c r="M233" i="7" s="1"/>
  <c r="M40" i="9"/>
  <c r="M5" i="7"/>
  <c r="K205" i="7"/>
  <c r="K209" i="7" s="1"/>
  <c r="K119" i="7"/>
  <c r="F31" i="8"/>
  <c r="L204" i="7"/>
  <c r="L208" i="7" s="1"/>
  <c r="M49" i="9"/>
  <c r="L51" i="9"/>
  <c r="L54" i="12" s="1"/>
  <c r="L55" i="12" s="1"/>
  <c r="L118" i="7"/>
  <c r="M48" i="9"/>
  <c r="K208" i="7"/>
  <c r="G45" i="8" l="1"/>
  <c r="G47" i="8"/>
  <c r="K41" i="9"/>
  <c r="K6" i="7"/>
  <c r="K51" i="12"/>
  <c r="G31" i="8"/>
  <c r="H26" i="8"/>
  <c r="O54" i="9"/>
  <c r="M205" i="7"/>
  <c r="M209" i="7" s="1"/>
  <c r="M119" i="7"/>
  <c r="J33" i="7"/>
  <c r="J34" i="7" s="1"/>
  <c r="J56" i="9"/>
  <c r="J57" i="9" s="1"/>
  <c r="J59" i="7"/>
  <c r="F33" i="8"/>
  <c r="N49" i="9"/>
  <c r="N48" i="9"/>
  <c r="M204" i="7"/>
  <c r="M208" i="7" s="1"/>
  <c r="M51" i="9"/>
  <c r="M54" i="12" s="1"/>
  <c r="M55" i="12" s="1"/>
  <c r="M118" i="7"/>
  <c r="K25" i="8"/>
  <c r="N231" i="7"/>
  <c r="N233" i="7" s="1"/>
  <c r="N5" i="7"/>
  <c r="N40" i="9"/>
  <c r="F167" i="7"/>
  <c r="F157" i="7"/>
  <c r="J39" i="7"/>
  <c r="J40" i="7" s="1"/>
  <c r="J59" i="9"/>
  <c r="J60" i="9" s="1"/>
  <c r="L6" i="7" l="1"/>
  <c r="L41" i="9"/>
  <c r="L51" i="12"/>
  <c r="H45" i="8"/>
  <c r="H47" i="8"/>
  <c r="H31" i="8"/>
  <c r="I26" i="8"/>
  <c r="J211" i="7"/>
  <c r="J218" i="7" s="1"/>
  <c r="J173" i="7"/>
  <c r="J180" i="7" s="1"/>
  <c r="J89" i="7"/>
  <c r="J121" i="7"/>
  <c r="J128" i="7" s="1"/>
  <c r="O49" i="9"/>
  <c r="N204" i="7"/>
  <c r="N208" i="7" s="1"/>
  <c r="N51" i="9"/>
  <c r="N118" i="7"/>
  <c r="O48" i="9"/>
  <c r="N205" i="7"/>
  <c r="N209" i="7" s="1"/>
  <c r="N119" i="7"/>
  <c r="J44" i="7"/>
  <c r="P54" i="9"/>
  <c r="G33" i="8"/>
  <c r="K59" i="7"/>
  <c r="K39" i="7"/>
  <c r="K40" i="7" s="1"/>
  <c r="K59" i="9"/>
  <c r="K60" i="9" s="1"/>
  <c r="L25" i="8"/>
  <c r="O231" i="7"/>
  <c r="O233" i="7" s="1"/>
  <c r="O40" i="9"/>
  <c r="O5" i="7"/>
  <c r="F159" i="7"/>
  <c r="F168" i="7"/>
  <c r="J60" i="7"/>
  <c r="F35" i="8"/>
  <c r="K33" i="7"/>
  <c r="K34" i="7" s="1"/>
  <c r="K56" i="9"/>
  <c r="K57" i="9" s="1"/>
  <c r="K44" i="7" l="1"/>
  <c r="K47" i="7" s="1"/>
  <c r="K235" i="7" s="1"/>
  <c r="K60" i="7"/>
  <c r="G35" i="8"/>
  <c r="J47" i="7"/>
  <c r="O205" i="7"/>
  <c r="O209" i="7" s="1"/>
  <c r="O119" i="7"/>
  <c r="I45" i="8"/>
  <c r="M51" i="12"/>
  <c r="M41" i="9"/>
  <c r="M6" i="7"/>
  <c r="I47" i="8"/>
  <c r="I31" i="8"/>
  <c r="J26" i="8"/>
  <c r="J174" i="7"/>
  <c r="J181" i="7" s="1"/>
  <c r="J212" i="7"/>
  <c r="J219" i="7" s="1"/>
  <c r="J90" i="7"/>
  <c r="J122" i="7"/>
  <c r="J129" i="7" s="1"/>
  <c r="Q54" i="9"/>
  <c r="K62" i="9"/>
  <c r="N54" i="12"/>
  <c r="N55" i="12" s="1"/>
  <c r="L59" i="7"/>
  <c r="H33" i="8"/>
  <c r="J61" i="7"/>
  <c r="F37" i="8"/>
  <c r="M25" i="8"/>
  <c r="P231" i="7"/>
  <c r="P233" i="7" s="1"/>
  <c r="P40" i="9"/>
  <c r="P5" i="7"/>
  <c r="P49" i="9"/>
  <c r="P48" i="9"/>
  <c r="O204" i="7"/>
  <c r="O208" i="7" s="1"/>
  <c r="O118" i="7"/>
  <c r="O51" i="9"/>
  <c r="O54" i="12" s="1"/>
  <c r="O55" i="12" s="1"/>
  <c r="L33" i="7"/>
  <c r="L34" i="7" s="1"/>
  <c r="L56" i="9"/>
  <c r="L57" i="9" s="1"/>
  <c r="F169" i="7"/>
  <c r="F161" i="7"/>
  <c r="K211" i="7"/>
  <c r="K218" i="7" s="1"/>
  <c r="K173" i="7"/>
  <c r="K180" i="7" s="1"/>
  <c r="K89" i="7"/>
  <c r="K121" i="7"/>
  <c r="K128" i="7" s="1"/>
  <c r="L39" i="7"/>
  <c r="L40" i="7" s="1"/>
  <c r="L59" i="9"/>
  <c r="L60" i="9" s="1"/>
  <c r="L62" i="9" l="1"/>
  <c r="N25" i="8"/>
  <c r="Q231" i="7"/>
  <c r="Q233" i="7" s="1"/>
  <c r="Q40" i="9"/>
  <c r="Q5" i="7"/>
  <c r="L173" i="7"/>
  <c r="L180" i="7" s="1"/>
  <c r="L211" i="7"/>
  <c r="L218" i="7" s="1"/>
  <c r="L121" i="7"/>
  <c r="L128" i="7" s="1"/>
  <c r="L89" i="7"/>
  <c r="R54" i="9"/>
  <c r="M59" i="7"/>
  <c r="I33" i="8"/>
  <c r="M39" i="7"/>
  <c r="M40" i="7" s="1"/>
  <c r="M59" i="9"/>
  <c r="M60" i="9" s="1"/>
  <c r="M33" i="7"/>
  <c r="M34" i="7" s="1"/>
  <c r="M56" i="9"/>
  <c r="M57" i="9" s="1"/>
  <c r="M62" i="9" s="1"/>
  <c r="J235" i="7"/>
  <c r="L44" i="7"/>
  <c r="Q49" i="9"/>
  <c r="P204" i="7"/>
  <c r="P208" i="7" s="1"/>
  <c r="P51" i="9"/>
  <c r="P118" i="7"/>
  <c r="Q48" i="9"/>
  <c r="J213" i="7"/>
  <c r="J220" i="7" s="1"/>
  <c r="J175" i="7"/>
  <c r="J182" i="7" s="1"/>
  <c r="J91" i="7"/>
  <c r="J123" i="7"/>
  <c r="J130" i="7" s="1"/>
  <c r="K61" i="7"/>
  <c r="G37" i="8"/>
  <c r="J62" i="7"/>
  <c r="F39" i="8"/>
  <c r="F170" i="7"/>
  <c r="F163" i="7"/>
  <c r="F171" i="7" s="1"/>
  <c r="P205" i="7"/>
  <c r="P209" i="7" s="1"/>
  <c r="P119" i="7"/>
  <c r="L60" i="7"/>
  <c r="H35" i="8"/>
  <c r="J47" i="8"/>
  <c r="J45" i="8"/>
  <c r="N6" i="7"/>
  <c r="N51" i="12"/>
  <c r="N41" i="9"/>
  <c r="J31" i="8"/>
  <c r="K26" i="8"/>
  <c r="K212" i="7"/>
  <c r="K219" i="7" s="1"/>
  <c r="K174" i="7"/>
  <c r="K181" i="7" s="1"/>
  <c r="K122" i="7"/>
  <c r="K129" i="7" s="1"/>
  <c r="K90" i="7"/>
  <c r="N39" i="7" l="1"/>
  <c r="N40" i="7" s="1"/>
  <c r="N59" i="9"/>
  <c r="N60" i="9" s="1"/>
  <c r="S54" i="9"/>
  <c r="G39" i="8"/>
  <c r="K62" i="7"/>
  <c r="L47" i="7"/>
  <c r="M60" i="7"/>
  <c r="I35" i="8"/>
  <c r="R231" i="7"/>
  <c r="R233" i="7" s="1"/>
  <c r="O25" i="8"/>
  <c r="R40" i="9"/>
  <c r="R5" i="7"/>
  <c r="Q205" i="7"/>
  <c r="Q209" i="7" s="1"/>
  <c r="Q119" i="7"/>
  <c r="J248" i="7"/>
  <c r="J249" i="7" s="1"/>
  <c r="J250" i="7"/>
  <c r="J241" i="7"/>
  <c r="J239" i="7"/>
  <c r="J240" i="7" s="1"/>
  <c r="K45" i="8"/>
  <c r="K47" i="8"/>
  <c r="O6" i="7"/>
  <c r="O51" i="12"/>
  <c r="O41" i="9"/>
  <c r="K31" i="8"/>
  <c r="L26" i="8"/>
  <c r="H37" i="8"/>
  <c r="L61" i="7"/>
  <c r="J63" i="7"/>
  <c r="F41" i="8"/>
  <c r="J64" i="7" s="1"/>
  <c r="K175" i="7"/>
  <c r="K182" i="7" s="1"/>
  <c r="K213" i="7"/>
  <c r="K220" i="7" s="1"/>
  <c r="K91" i="7"/>
  <c r="K123" i="7"/>
  <c r="K130" i="7" s="1"/>
  <c r="P54" i="12"/>
  <c r="P55" i="12" s="1"/>
  <c r="M44" i="7"/>
  <c r="M47" i="7" s="1"/>
  <c r="M235" i="7" s="1"/>
  <c r="M211" i="7"/>
  <c r="M218" i="7" s="1"/>
  <c r="M173" i="7"/>
  <c r="M180" i="7" s="1"/>
  <c r="M89" i="7"/>
  <c r="M121" i="7"/>
  <c r="M128" i="7" s="1"/>
  <c r="R49" i="9"/>
  <c r="R48" i="9"/>
  <c r="Q204" i="7"/>
  <c r="Q208" i="7" s="1"/>
  <c r="Q51" i="9"/>
  <c r="Q54" i="12" s="1"/>
  <c r="Q55" i="12" s="1"/>
  <c r="Q118" i="7"/>
  <c r="J33" i="8"/>
  <c r="N59" i="7"/>
  <c r="N33" i="7"/>
  <c r="N34" i="7" s="1"/>
  <c r="N44" i="7" s="1"/>
  <c r="N47" i="7" s="1"/>
  <c r="N235" i="7" s="1"/>
  <c r="N56" i="9"/>
  <c r="N57" i="9" s="1"/>
  <c r="N62" i="9" s="1"/>
  <c r="L174" i="7"/>
  <c r="L181" i="7" s="1"/>
  <c r="L212" i="7"/>
  <c r="L219" i="7" s="1"/>
  <c r="L90" i="7"/>
  <c r="L122" i="7"/>
  <c r="L129" i="7" s="1"/>
  <c r="J176" i="7"/>
  <c r="J183" i="7" s="1"/>
  <c r="J214" i="7"/>
  <c r="J221" i="7" s="1"/>
  <c r="J124" i="7"/>
  <c r="J131" i="7" s="1"/>
  <c r="J92" i="7"/>
  <c r="L175" i="7" l="1"/>
  <c r="L182" i="7" s="1"/>
  <c r="L213" i="7"/>
  <c r="L220" i="7" s="1"/>
  <c r="L91" i="7"/>
  <c r="L123" i="7"/>
  <c r="L130" i="7" s="1"/>
  <c r="O33" i="7"/>
  <c r="O34" i="7" s="1"/>
  <c r="O56" i="9"/>
  <c r="O57" i="9" s="1"/>
  <c r="L235" i="7"/>
  <c r="T54" i="9"/>
  <c r="H39" i="8"/>
  <c r="L62" i="7"/>
  <c r="P25" i="8"/>
  <c r="S231" i="7"/>
  <c r="S233" i="7" s="1"/>
  <c r="S5" i="7"/>
  <c r="S40" i="9"/>
  <c r="M61" i="7"/>
  <c r="I37" i="8"/>
  <c r="K214" i="7"/>
  <c r="K221" i="7" s="1"/>
  <c r="K176" i="7"/>
  <c r="K183" i="7" s="1"/>
  <c r="K92" i="7"/>
  <c r="K124" i="7"/>
  <c r="K131" i="7" s="1"/>
  <c r="J35" i="8"/>
  <c r="N60" i="7"/>
  <c r="R204" i="7"/>
  <c r="R208" i="7" s="1"/>
  <c r="S49" i="9"/>
  <c r="S48" i="9"/>
  <c r="R118" i="7"/>
  <c r="R51" i="9"/>
  <c r="R54" i="12" s="1"/>
  <c r="R55" i="12" s="1"/>
  <c r="J178" i="7"/>
  <c r="J185" i="7" s="1"/>
  <c r="J216" i="7"/>
  <c r="J223" i="7" s="1"/>
  <c r="J126" i="7"/>
  <c r="J133" i="7" s="1"/>
  <c r="J94" i="7"/>
  <c r="L47" i="8"/>
  <c r="L45" i="8"/>
  <c r="P6" i="7"/>
  <c r="P51" i="12"/>
  <c r="P41" i="9"/>
  <c r="L31" i="8"/>
  <c r="M26" i="8"/>
  <c r="J242" i="7"/>
  <c r="M212" i="7"/>
  <c r="M219" i="7" s="1"/>
  <c r="M174" i="7"/>
  <c r="M181" i="7" s="1"/>
  <c r="M90" i="7"/>
  <c r="M122" i="7"/>
  <c r="M129" i="7" s="1"/>
  <c r="G41" i="8"/>
  <c r="K64" i="7" s="1"/>
  <c r="K63" i="7"/>
  <c r="N211" i="7"/>
  <c r="N218" i="7" s="1"/>
  <c r="N173" i="7"/>
  <c r="N180" i="7" s="1"/>
  <c r="N89" i="7"/>
  <c r="N121" i="7"/>
  <c r="N128" i="7" s="1"/>
  <c r="R205" i="7"/>
  <c r="R209" i="7" s="1"/>
  <c r="R119" i="7"/>
  <c r="J215" i="7"/>
  <c r="J222" i="7" s="1"/>
  <c r="J177" i="7"/>
  <c r="J184" i="7" s="1"/>
  <c r="J93" i="7"/>
  <c r="J125" i="7"/>
  <c r="J132" i="7" s="1"/>
  <c r="K33" i="8"/>
  <c r="O59" i="7"/>
  <c r="O39" i="7"/>
  <c r="O40" i="7" s="1"/>
  <c r="O59" i="9"/>
  <c r="O60" i="9" s="1"/>
  <c r="J251" i="7"/>
  <c r="J186" i="7" l="1"/>
  <c r="K215" i="7"/>
  <c r="K222" i="7" s="1"/>
  <c r="K177" i="7"/>
  <c r="K184" i="7" s="1"/>
  <c r="K93" i="7"/>
  <c r="K125" i="7"/>
  <c r="K132" i="7" s="1"/>
  <c r="T49" i="9"/>
  <c r="T48" i="9"/>
  <c r="S204" i="7"/>
  <c r="S208" i="7" s="1"/>
  <c r="S118" i="7"/>
  <c r="S51" i="9"/>
  <c r="S54" i="12" s="1"/>
  <c r="S55" i="12" s="1"/>
  <c r="J37" i="8"/>
  <c r="N61" i="7"/>
  <c r="O173" i="7"/>
  <c r="O180" i="7" s="1"/>
  <c r="O211" i="7"/>
  <c r="O218" i="7" s="1"/>
  <c r="O121" i="7"/>
  <c r="O128" i="7" s="1"/>
  <c r="O89" i="7"/>
  <c r="K216" i="7"/>
  <c r="K223" i="7" s="1"/>
  <c r="K178" i="7"/>
  <c r="K185" i="7" s="1"/>
  <c r="K94" i="7"/>
  <c r="K126" i="7"/>
  <c r="K133" i="7" s="1"/>
  <c r="M47" i="8"/>
  <c r="M45" i="8"/>
  <c r="Q41" i="9"/>
  <c r="Q6" i="7"/>
  <c r="Q51" i="12"/>
  <c r="M31" i="8"/>
  <c r="N26" i="8"/>
  <c r="S205" i="7"/>
  <c r="S209" i="7" s="1"/>
  <c r="S119" i="7"/>
  <c r="M62" i="7"/>
  <c r="I39" i="8"/>
  <c r="L176" i="7"/>
  <c r="L183" i="7" s="1"/>
  <c r="L214" i="7"/>
  <c r="L221" i="7" s="1"/>
  <c r="L124" i="7"/>
  <c r="L131" i="7" s="1"/>
  <c r="L92" i="7"/>
  <c r="K35" i="8"/>
  <c r="O60" i="7"/>
  <c r="P59" i="7"/>
  <c r="L33" i="8"/>
  <c r="P33" i="7"/>
  <c r="P34" i="7" s="1"/>
  <c r="P56" i="9"/>
  <c r="P57" i="9" s="1"/>
  <c r="J224" i="7"/>
  <c r="M213" i="7"/>
  <c r="M220" i="7" s="1"/>
  <c r="M175" i="7"/>
  <c r="M182" i="7" s="1"/>
  <c r="M91" i="7"/>
  <c r="M123" i="7"/>
  <c r="M130" i="7" s="1"/>
  <c r="Q25" i="8"/>
  <c r="T231" i="7"/>
  <c r="T233" i="7" s="1"/>
  <c r="T40" i="9"/>
  <c r="T5" i="7"/>
  <c r="L63" i="7"/>
  <c r="H41" i="8"/>
  <c r="L64" i="7" s="1"/>
  <c r="U54" i="9"/>
  <c r="O62" i="9"/>
  <c r="P39" i="7"/>
  <c r="P40" i="7" s="1"/>
  <c r="P59" i="9"/>
  <c r="P60" i="9" s="1"/>
  <c r="N174" i="7"/>
  <c r="N181" i="7" s="1"/>
  <c r="N212" i="7"/>
  <c r="N219" i="7" s="1"/>
  <c r="N90" i="7"/>
  <c r="N122" i="7"/>
  <c r="N129" i="7" s="1"/>
  <c r="O44" i="7"/>
  <c r="K224" i="7" l="1"/>
  <c r="J227" i="7"/>
  <c r="J256" i="7" s="1"/>
  <c r="K186" i="7"/>
  <c r="K136" i="7"/>
  <c r="K247" i="7" s="1"/>
  <c r="P173" i="7"/>
  <c r="P180" i="7" s="1"/>
  <c r="P211" i="7"/>
  <c r="P218" i="7" s="1"/>
  <c r="P89" i="7"/>
  <c r="P121" i="7"/>
  <c r="P128" i="7" s="1"/>
  <c r="Q39" i="7"/>
  <c r="Q40" i="7" s="1"/>
  <c r="Q59" i="9"/>
  <c r="Q60" i="9" s="1"/>
  <c r="J39" i="8"/>
  <c r="N62" i="7"/>
  <c r="U49" i="9"/>
  <c r="T204" i="7"/>
  <c r="T208" i="7" s="1"/>
  <c r="T51" i="9"/>
  <c r="T54" i="12" s="1"/>
  <c r="T55" i="12" s="1"/>
  <c r="T118" i="7"/>
  <c r="U48" i="9"/>
  <c r="L178" i="7"/>
  <c r="L185" i="7" s="1"/>
  <c r="L216" i="7"/>
  <c r="L223" i="7" s="1"/>
  <c r="L94" i="7"/>
  <c r="L126" i="7"/>
  <c r="L133" i="7" s="1"/>
  <c r="P62" i="9"/>
  <c r="K292" i="7"/>
  <c r="T205" i="7"/>
  <c r="T209" i="7" s="1"/>
  <c r="T119" i="7"/>
  <c r="O47" i="7"/>
  <c r="L177" i="7"/>
  <c r="L184" i="7" s="1"/>
  <c r="L215" i="7"/>
  <c r="L222" i="7" s="1"/>
  <c r="L125" i="7"/>
  <c r="L132" i="7" s="1"/>
  <c r="L93" i="7"/>
  <c r="P44" i="7"/>
  <c r="P47" i="7" s="1"/>
  <c r="P235" i="7" s="1"/>
  <c r="O212" i="7"/>
  <c r="O219" i="7" s="1"/>
  <c r="O174" i="7"/>
  <c r="O181" i="7" s="1"/>
  <c r="O90" i="7"/>
  <c r="O122" i="7"/>
  <c r="O129" i="7" s="1"/>
  <c r="M63" i="7"/>
  <c r="I41" i="8"/>
  <c r="M64" i="7" s="1"/>
  <c r="R41" i="9"/>
  <c r="R6" i="7"/>
  <c r="R51" i="12"/>
  <c r="N45" i="8"/>
  <c r="N47" i="8"/>
  <c r="N31" i="8"/>
  <c r="O26" i="8"/>
  <c r="K97" i="7"/>
  <c r="V54" i="9"/>
  <c r="R25" i="8"/>
  <c r="U231" i="7"/>
  <c r="U233" i="7" s="1"/>
  <c r="U40" i="9"/>
  <c r="U5" i="7"/>
  <c r="P60" i="7"/>
  <c r="L35" i="8"/>
  <c r="K37" i="8"/>
  <c r="O61" i="7"/>
  <c r="M176" i="7"/>
  <c r="M183" i="7" s="1"/>
  <c r="M214" i="7"/>
  <c r="M221" i="7" s="1"/>
  <c r="M92" i="7"/>
  <c r="M124" i="7"/>
  <c r="M131" i="7" s="1"/>
  <c r="M33" i="8"/>
  <c r="Q59" i="7"/>
  <c r="Q33" i="7"/>
  <c r="Q34" i="7" s="1"/>
  <c r="Q44" i="7" s="1"/>
  <c r="Q47" i="7" s="1"/>
  <c r="Q235" i="7" s="1"/>
  <c r="Q56" i="9"/>
  <c r="Q57" i="9" s="1"/>
  <c r="Q62" i="9" s="1"/>
  <c r="K227" i="7"/>
  <c r="N213" i="7"/>
  <c r="N220" i="7" s="1"/>
  <c r="N175" i="7"/>
  <c r="N182" i="7" s="1"/>
  <c r="N123" i="7"/>
  <c r="N130" i="7" s="1"/>
  <c r="N91" i="7"/>
  <c r="J74" i="12" l="1"/>
  <c r="J293" i="7"/>
  <c r="L224" i="7"/>
  <c r="K73" i="12"/>
  <c r="L136" i="7"/>
  <c r="L292" i="7" s="1"/>
  <c r="R33" i="7"/>
  <c r="R34" i="7" s="1"/>
  <c r="R56" i="9"/>
  <c r="R57" i="9" s="1"/>
  <c r="L247" i="7"/>
  <c r="U204" i="7"/>
  <c r="U208" i="7" s="1"/>
  <c r="V49" i="9"/>
  <c r="V48" i="9"/>
  <c r="U51" i="9"/>
  <c r="U54" i="12" s="1"/>
  <c r="U55" i="12" s="1"/>
  <c r="U118" i="7"/>
  <c r="U205" i="7"/>
  <c r="U209" i="7" s="1"/>
  <c r="U119" i="7"/>
  <c r="V231" i="7"/>
  <c r="V233" i="7" s="1"/>
  <c r="S25" i="8"/>
  <c r="V5" i="7"/>
  <c r="V40" i="9"/>
  <c r="K39" i="8"/>
  <c r="O62" i="7"/>
  <c r="O47" i="8"/>
  <c r="O45" i="8"/>
  <c r="S51" i="12"/>
  <c r="S6" i="7"/>
  <c r="S41" i="9"/>
  <c r="O31" i="8"/>
  <c r="P26" i="8"/>
  <c r="M177" i="7"/>
  <c r="M184" i="7" s="1"/>
  <c r="M215" i="7"/>
  <c r="M222" i="7" s="1"/>
  <c r="M125" i="7"/>
  <c r="M132" i="7" s="1"/>
  <c r="M93" i="7"/>
  <c r="K250" i="7"/>
  <c r="K248" i="7"/>
  <c r="K249" i="7" s="1"/>
  <c r="L97" i="7"/>
  <c r="N214" i="7"/>
  <c r="N221" i="7" s="1"/>
  <c r="N176" i="7"/>
  <c r="N183" i="7" s="1"/>
  <c r="N92" i="7"/>
  <c r="N124" i="7"/>
  <c r="N131" i="7" s="1"/>
  <c r="K238" i="7"/>
  <c r="K291" i="7"/>
  <c r="K72" i="12"/>
  <c r="Q211" i="7"/>
  <c r="Q218" i="7" s="1"/>
  <c r="Q173" i="7"/>
  <c r="Q180" i="7" s="1"/>
  <c r="Q89" i="7"/>
  <c r="Q121" i="7"/>
  <c r="Q128" i="7" s="1"/>
  <c r="P61" i="7"/>
  <c r="L37" i="8"/>
  <c r="W54" i="9"/>
  <c r="R59" i="7"/>
  <c r="N33" i="8"/>
  <c r="J41" i="8"/>
  <c r="N64" i="7" s="1"/>
  <c r="N63" i="7"/>
  <c r="J257" i="7"/>
  <c r="J258" i="7" s="1"/>
  <c r="J259" i="7"/>
  <c r="O175" i="7"/>
  <c r="O182" i="7" s="1"/>
  <c r="O213" i="7"/>
  <c r="O220" i="7" s="1"/>
  <c r="O123" i="7"/>
  <c r="O130" i="7" s="1"/>
  <c r="O91" i="7"/>
  <c r="M216" i="7"/>
  <c r="M223" i="7" s="1"/>
  <c r="M178" i="7"/>
  <c r="M185" i="7" s="1"/>
  <c r="M94" i="7"/>
  <c r="M126" i="7"/>
  <c r="M133" i="7" s="1"/>
  <c r="M136" i="7" s="1"/>
  <c r="K256" i="7"/>
  <c r="K293" i="7"/>
  <c r="K74" i="12"/>
  <c r="M35" i="8"/>
  <c r="Q60" i="7"/>
  <c r="P174" i="7"/>
  <c r="P181" i="7" s="1"/>
  <c r="P212" i="7"/>
  <c r="P219" i="7" s="1"/>
  <c r="P90" i="7"/>
  <c r="P122" i="7"/>
  <c r="P129" i="7" s="1"/>
  <c r="R39" i="7"/>
  <c r="R40" i="7" s="1"/>
  <c r="R59" i="9"/>
  <c r="R60" i="9" s="1"/>
  <c r="O235" i="7"/>
  <c r="L186" i="7"/>
  <c r="L227" i="7" s="1"/>
  <c r="L73" i="12" l="1"/>
  <c r="M97" i="7"/>
  <c r="M291" i="7" s="1"/>
  <c r="M186" i="7"/>
  <c r="M224" i="7"/>
  <c r="N215" i="7"/>
  <c r="N222" i="7" s="1"/>
  <c r="N177" i="7"/>
  <c r="N184" i="7" s="1"/>
  <c r="N93" i="7"/>
  <c r="N125" i="7"/>
  <c r="N132" i="7" s="1"/>
  <c r="R211" i="7"/>
  <c r="R218" i="7" s="1"/>
  <c r="R173" i="7"/>
  <c r="R180" i="7" s="1"/>
  <c r="R121" i="7"/>
  <c r="R128" i="7" s="1"/>
  <c r="R89" i="7"/>
  <c r="P175" i="7"/>
  <c r="P182" i="7" s="1"/>
  <c r="P213" i="7"/>
  <c r="P220" i="7" s="1"/>
  <c r="P91" i="7"/>
  <c r="P123" i="7"/>
  <c r="P130" i="7" s="1"/>
  <c r="K239" i="7"/>
  <c r="K240" i="7" s="1"/>
  <c r="K241" i="7"/>
  <c r="K251" i="7"/>
  <c r="O214" i="7"/>
  <c r="O221" i="7" s="1"/>
  <c r="O176" i="7"/>
  <c r="O183" i="7" s="1"/>
  <c r="O92" i="7"/>
  <c r="O124" i="7"/>
  <c r="O131" i="7" s="1"/>
  <c r="T25" i="8"/>
  <c r="W231" i="7"/>
  <c r="W233" i="7" s="1"/>
  <c r="W5" i="7"/>
  <c r="W40" i="9"/>
  <c r="W49" i="9"/>
  <c r="W48" i="9"/>
  <c r="V204" i="7"/>
  <c r="V208" i="7" s="1"/>
  <c r="V118" i="7"/>
  <c r="V51" i="9"/>
  <c r="V54" i="12" s="1"/>
  <c r="V55" i="12" s="1"/>
  <c r="K257" i="7"/>
  <c r="K258" i="7" s="1"/>
  <c r="K259" i="7"/>
  <c r="M37" i="8"/>
  <c r="Q61" i="7"/>
  <c r="N178" i="7"/>
  <c r="N185" i="7" s="1"/>
  <c r="N216" i="7"/>
  <c r="N223" i="7" s="1"/>
  <c r="N94" i="7"/>
  <c r="N97" i="7" s="1"/>
  <c r="N126" i="7"/>
  <c r="N133" i="7" s="1"/>
  <c r="N136" i="7" s="1"/>
  <c r="X54" i="9"/>
  <c r="P47" i="8"/>
  <c r="P45" i="8"/>
  <c r="T6" i="7"/>
  <c r="T51" i="12"/>
  <c r="T41" i="9"/>
  <c r="P31" i="8"/>
  <c r="Q26" i="8"/>
  <c r="K41" i="8"/>
  <c r="O64" i="7" s="1"/>
  <c r="O63" i="7"/>
  <c r="V205" i="7"/>
  <c r="V209" i="7" s="1"/>
  <c r="V119" i="7"/>
  <c r="M292" i="7"/>
  <c r="M247" i="7"/>
  <c r="M73" i="12"/>
  <c r="L256" i="7"/>
  <c r="L293" i="7"/>
  <c r="L74" i="12"/>
  <c r="L238" i="7"/>
  <c r="L291" i="7"/>
  <c r="L72" i="12"/>
  <c r="O33" i="8"/>
  <c r="S59" i="7"/>
  <c r="S33" i="7"/>
  <c r="S34" i="7" s="1"/>
  <c r="S56" i="9"/>
  <c r="S57" i="9" s="1"/>
  <c r="R62" i="9"/>
  <c r="Q212" i="7"/>
  <c r="Q219" i="7" s="1"/>
  <c r="Q174" i="7"/>
  <c r="Q181" i="7" s="1"/>
  <c r="Q90" i="7"/>
  <c r="Q122" i="7"/>
  <c r="Q129" i="7" s="1"/>
  <c r="J260" i="7"/>
  <c r="R60" i="7"/>
  <c r="N35" i="8"/>
  <c r="P62" i="7"/>
  <c r="L39" i="8"/>
  <c r="S39" i="7"/>
  <c r="S40" i="7" s="1"/>
  <c r="S59" i="9"/>
  <c r="S60" i="9" s="1"/>
  <c r="L248" i="7"/>
  <c r="L249" i="7" s="1"/>
  <c r="L250" i="7"/>
  <c r="R44" i="7"/>
  <c r="R47" i="7" s="1"/>
  <c r="M238" i="7" l="1"/>
  <c r="K260" i="7"/>
  <c r="M72" i="12"/>
  <c r="M227" i="7"/>
  <c r="N186" i="7"/>
  <c r="S44" i="7"/>
  <c r="S47" i="7" s="1"/>
  <c r="S235" i="7" s="1"/>
  <c r="R212" i="7"/>
  <c r="R219" i="7" s="1"/>
  <c r="R174" i="7"/>
  <c r="R181" i="7" s="1"/>
  <c r="R90" i="7"/>
  <c r="R122" i="7"/>
  <c r="R129" i="7" s="1"/>
  <c r="S211" i="7"/>
  <c r="S218" i="7" s="1"/>
  <c r="S173" i="7"/>
  <c r="S180" i="7" s="1"/>
  <c r="S89" i="7"/>
  <c r="S121" i="7"/>
  <c r="S128" i="7" s="1"/>
  <c r="L241" i="7"/>
  <c r="L239" i="7"/>
  <c r="L240" i="7" s="1"/>
  <c r="M248" i="7"/>
  <c r="M249" i="7" s="1"/>
  <c r="M250" i="7"/>
  <c r="O177" i="7"/>
  <c r="O184" i="7" s="1"/>
  <c r="O215" i="7"/>
  <c r="O222" i="7" s="1"/>
  <c r="O93" i="7"/>
  <c r="O125" i="7"/>
  <c r="O132" i="7" s="1"/>
  <c r="T39" i="7"/>
  <c r="T40" i="7" s="1"/>
  <c r="T59" i="9"/>
  <c r="T60" i="9" s="1"/>
  <c r="N73" i="12"/>
  <c r="N292" i="7"/>
  <c r="N247" i="7"/>
  <c r="Q213" i="7"/>
  <c r="Q220" i="7" s="1"/>
  <c r="Q175" i="7"/>
  <c r="Q182" i="7" s="1"/>
  <c r="Q123" i="7"/>
  <c r="Q130" i="7" s="1"/>
  <c r="Q91" i="7"/>
  <c r="W205" i="7"/>
  <c r="W209" i="7" s="1"/>
  <c r="W119" i="7"/>
  <c r="M239" i="7"/>
  <c r="M241" i="7"/>
  <c r="P63" i="7"/>
  <c r="L41" i="8"/>
  <c r="P64" i="7" s="1"/>
  <c r="O216" i="7"/>
  <c r="O223" i="7" s="1"/>
  <c r="O178" i="7"/>
  <c r="O185" i="7" s="1"/>
  <c r="O94" i="7"/>
  <c r="O126" i="7"/>
  <c r="O133" i="7" s="1"/>
  <c r="N291" i="7"/>
  <c r="N72" i="12"/>
  <c r="N238" i="7"/>
  <c r="M39" i="8"/>
  <c r="Q62" i="7"/>
  <c r="U25" i="8"/>
  <c r="X231" i="7"/>
  <c r="X233" i="7" s="1"/>
  <c r="X5" i="7"/>
  <c r="X40" i="9"/>
  <c r="O35" i="8"/>
  <c r="S60" i="7"/>
  <c r="R235" i="7"/>
  <c r="P176" i="7"/>
  <c r="P183" i="7" s="1"/>
  <c r="P214" i="7"/>
  <c r="P221" i="7" s="1"/>
  <c r="P92" i="7"/>
  <c r="P124" i="7"/>
  <c r="P131" i="7" s="1"/>
  <c r="S62" i="9"/>
  <c r="L257" i="7"/>
  <c r="L258" i="7" s="1"/>
  <c r="L259" i="7"/>
  <c r="Q47" i="8"/>
  <c r="Q45" i="8"/>
  <c r="U6" i="7"/>
  <c r="U51" i="12"/>
  <c r="U41" i="9"/>
  <c r="Q31" i="8"/>
  <c r="R26" i="8"/>
  <c r="N224" i="7"/>
  <c r="N227" i="7" s="1"/>
  <c r="M256" i="7"/>
  <c r="M293" i="7"/>
  <c r="M74" i="12"/>
  <c r="K242" i="7"/>
  <c r="L242" i="7" s="1"/>
  <c r="R61" i="7"/>
  <c r="N37" i="8"/>
  <c r="P33" i="8"/>
  <c r="T59" i="7"/>
  <c r="T33" i="7"/>
  <c r="T34" i="7" s="1"/>
  <c r="T44" i="7" s="1"/>
  <c r="T47" i="7" s="1"/>
  <c r="T235" i="7" s="1"/>
  <c r="T56" i="9"/>
  <c r="T57" i="9" s="1"/>
  <c r="T62" i="9" s="1"/>
  <c r="Y54" i="9"/>
  <c r="W204" i="7"/>
  <c r="W208" i="7" s="1"/>
  <c r="X49" i="9"/>
  <c r="X48" i="9"/>
  <c r="W118" i="7"/>
  <c r="W51" i="9"/>
  <c r="W54" i="12" s="1"/>
  <c r="W55" i="12" s="1"/>
  <c r="L251" i="7"/>
  <c r="O136" i="7" l="1"/>
  <c r="M242" i="7"/>
  <c r="M251" i="7"/>
  <c r="M240" i="7"/>
  <c r="O224" i="7"/>
  <c r="N256" i="7"/>
  <c r="N74" i="12"/>
  <c r="N293" i="7"/>
  <c r="X205" i="7"/>
  <c r="X209" i="7" s="1"/>
  <c r="X119" i="7"/>
  <c r="R62" i="7"/>
  <c r="N39" i="8"/>
  <c r="Q33" i="8"/>
  <c r="U59" i="7"/>
  <c r="U33" i="7"/>
  <c r="U34" i="7" s="1"/>
  <c r="U56" i="9"/>
  <c r="U57" i="9" s="1"/>
  <c r="S212" i="7"/>
  <c r="S219" i="7" s="1"/>
  <c r="S174" i="7"/>
  <c r="S181" i="7" s="1"/>
  <c r="S90" i="7"/>
  <c r="S122" i="7"/>
  <c r="S129" i="7" s="1"/>
  <c r="V25" i="8"/>
  <c r="Y5" i="7"/>
  <c r="Y231" i="7"/>
  <c r="Y233" i="7" s="1"/>
  <c r="Y40" i="9"/>
  <c r="O186" i="7"/>
  <c r="O97" i="7"/>
  <c r="X204" i="7"/>
  <c r="X208" i="7" s="1"/>
  <c r="Y49" i="9"/>
  <c r="X51" i="9"/>
  <c r="X54" i="12" s="1"/>
  <c r="X55" i="12" s="1"/>
  <c r="X118" i="7"/>
  <c r="Y48" i="9"/>
  <c r="Z54" i="9"/>
  <c r="T211" i="7"/>
  <c r="T218" i="7" s="1"/>
  <c r="T173" i="7"/>
  <c r="T180" i="7" s="1"/>
  <c r="T89" i="7"/>
  <c r="T121" i="7"/>
  <c r="T128" i="7" s="1"/>
  <c r="R175" i="7"/>
  <c r="R182" i="7" s="1"/>
  <c r="R213" i="7"/>
  <c r="R220" i="7" s="1"/>
  <c r="R91" i="7"/>
  <c r="R123" i="7"/>
  <c r="R130" i="7" s="1"/>
  <c r="M257" i="7"/>
  <c r="M258" i="7" s="1"/>
  <c r="M259" i="7"/>
  <c r="U39" i="7"/>
  <c r="U40" i="7" s="1"/>
  <c r="U59" i="9"/>
  <c r="U60" i="9" s="1"/>
  <c r="O37" i="8"/>
  <c r="S61" i="7"/>
  <c r="Q214" i="7"/>
  <c r="Q221" i="7" s="1"/>
  <c r="Q176" i="7"/>
  <c r="Q183" i="7" s="1"/>
  <c r="Q92" i="7"/>
  <c r="Q124" i="7"/>
  <c r="Q131" i="7" s="1"/>
  <c r="M41" i="8"/>
  <c r="Q64" i="7" s="1"/>
  <c r="Q63" i="7"/>
  <c r="O73" i="12"/>
  <c r="O247" i="7"/>
  <c r="O292" i="7"/>
  <c r="P178" i="7"/>
  <c r="P185" i="7" s="1"/>
  <c r="P216" i="7"/>
  <c r="P223" i="7" s="1"/>
  <c r="P94" i="7"/>
  <c r="P126" i="7"/>
  <c r="P133" i="7" s="1"/>
  <c r="N250" i="7"/>
  <c r="N251" i="7" s="1"/>
  <c r="N248" i="7"/>
  <c r="N249" i="7" s="1"/>
  <c r="P35" i="8"/>
  <c r="T60" i="7"/>
  <c r="L260" i="7"/>
  <c r="R45" i="8"/>
  <c r="R47" i="8"/>
  <c r="V51" i="12"/>
  <c r="V6" i="7"/>
  <c r="V41" i="9"/>
  <c r="R31" i="8"/>
  <c r="S26" i="8"/>
  <c r="N239" i="7"/>
  <c r="N240" i="7" s="1"/>
  <c r="N241" i="7"/>
  <c r="P177" i="7"/>
  <c r="P184" i="7" s="1"/>
  <c r="P215" i="7"/>
  <c r="P222" i="7" s="1"/>
  <c r="P125" i="7"/>
  <c r="P132" i="7" s="1"/>
  <c r="P93" i="7"/>
  <c r="O227" i="7" l="1"/>
  <c r="M260" i="7"/>
  <c r="P97" i="7"/>
  <c r="P72" i="12" s="1"/>
  <c r="Q216" i="7"/>
  <c r="Q223" i="7" s="1"/>
  <c r="Q178" i="7"/>
  <c r="Q185" i="7" s="1"/>
  <c r="Q94" i="7"/>
  <c r="Q126" i="7"/>
  <c r="Q133" i="7" s="1"/>
  <c r="O39" i="8"/>
  <c r="S62" i="7"/>
  <c r="W25" i="8"/>
  <c r="Z40" i="9"/>
  <c r="Z231" i="7"/>
  <c r="Z233" i="7" s="1"/>
  <c r="Z5" i="7"/>
  <c r="U173" i="7"/>
  <c r="U180" i="7" s="1"/>
  <c r="U211" i="7"/>
  <c r="U218" i="7" s="1"/>
  <c r="U121" i="7"/>
  <c r="U128" i="7" s="1"/>
  <c r="U89" i="7"/>
  <c r="P224" i="7"/>
  <c r="O72" i="12"/>
  <c r="O238" i="7"/>
  <c r="O291" i="7"/>
  <c r="Q35" i="8"/>
  <c r="U60" i="7"/>
  <c r="R33" i="8"/>
  <c r="V59" i="7"/>
  <c r="T174" i="7"/>
  <c r="T181" i="7" s="1"/>
  <c r="T212" i="7"/>
  <c r="T219" i="7" s="1"/>
  <c r="T90" i="7"/>
  <c r="T122" i="7"/>
  <c r="T129" i="7" s="1"/>
  <c r="O248" i="7"/>
  <c r="O249" i="7" s="1"/>
  <c r="O250" i="7"/>
  <c r="O251" i="7" s="1"/>
  <c r="V33" i="7"/>
  <c r="V34" i="7" s="1"/>
  <c r="V56" i="9"/>
  <c r="V57" i="9" s="1"/>
  <c r="P37" i="8"/>
  <c r="T61" i="7"/>
  <c r="P186" i="7"/>
  <c r="AA54" i="9"/>
  <c r="Y205" i="7"/>
  <c r="Y209" i="7" s="1"/>
  <c r="Y119" i="7"/>
  <c r="U62" i="9"/>
  <c r="N41" i="8"/>
  <c r="R64" i="7" s="1"/>
  <c r="R63" i="7"/>
  <c r="S47" i="8"/>
  <c r="S45" i="8"/>
  <c r="W51" i="12"/>
  <c r="W6" i="7"/>
  <c r="W41" i="9"/>
  <c r="S31" i="8"/>
  <c r="T26" i="8"/>
  <c r="V39" i="7"/>
  <c r="V40" i="7" s="1"/>
  <c r="V59" i="9"/>
  <c r="V60" i="9" s="1"/>
  <c r="N242" i="7"/>
  <c r="P136" i="7"/>
  <c r="Q215" i="7"/>
  <c r="Q222" i="7" s="1"/>
  <c r="Q177" i="7"/>
  <c r="Q184" i="7" s="1"/>
  <c r="Q93" i="7"/>
  <c r="Q125" i="7"/>
  <c r="Q132" i="7" s="1"/>
  <c r="S213" i="7"/>
  <c r="S220" i="7" s="1"/>
  <c r="S175" i="7"/>
  <c r="S182" i="7" s="1"/>
  <c r="S123" i="7"/>
  <c r="S130" i="7" s="1"/>
  <c r="S91" i="7"/>
  <c r="Y204" i="7"/>
  <c r="Y208" i="7" s="1"/>
  <c r="Z49" i="9"/>
  <c r="Y51" i="9"/>
  <c r="Y54" i="12" s="1"/>
  <c r="Y55" i="12" s="1"/>
  <c r="Y118" i="7"/>
  <c r="Z48" i="9"/>
  <c r="O256" i="7"/>
  <c r="O293" i="7"/>
  <c r="O74" i="12"/>
  <c r="U44" i="7"/>
  <c r="U47" i="7" s="1"/>
  <c r="U235" i="7" s="1"/>
  <c r="R176" i="7"/>
  <c r="R183" i="7" s="1"/>
  <c r="R214" i="7"/>
  <c r="R221" i="7" s="1"/>
  <c r="R92" i="7"/>
  <c r="R124" i="7"/>
  <c r="R131" i="7" s="1"/>
  <c r="N257" i="7"/>
  <c r="N258" i="7" s="1"/>
  <c r="N259" i="7"/>
  <c r="N260" i="7" s="1"/>
  <c r="P291" i="7" l="1"/>
  <c r="P238" i="7"/>
  <c r="Q186" i="7"/>
  <c r="P227" i="7"/>
  <c r="S33" i="8"/>
  <c r="W59" i="7"/>
  <c r="W33" i="7"/>
  <c r="W34" i="7" s="1"/>
  <c r="W56" i="9"/>
  <c r="W57" i="9" s="1"/>
  <c r="T213" i="7"/>
  <c r="T220" i="7" s="1"/>
  <c r="T175" i="7"/>
  <c r="T182" i="7" s="1"/>
  <c r="T91" i="7"/>
  <c r="T123" i="7"/>
  <c r="T130" i="7" s="1"/>
  <c r="V173" i="7"/>
  <c r="V180" i="7" s="1"/>
  <c r="V211" i="7"/>
  <c r="V218" i="7" s="1"/>
  <c r="V121" i="7"/>
  <c r="V128" i="7" s="1"/>
  <c r="V89" i="7"/>
  <c r="Q37" i="8"/>
  <c r="U61" i="7"/>
  <c r="P239" i="7"/>
  <c r="P241" i="7"/>
  <c r="Q97" i="7"/>
  <c r="O257" i="7"/>
  <c r="O258" i="7" s="1"/>
  <c r="O259" i="7"/>
  <c r="O260" i="7" s="1"/>
  <c r="W39" i="7"/>
  <c r="W40" i="7" s="1"/>
  <c r="W59" i="9"/>
  <c r="W60" i="9" s="1"/>
  <c r="P39" i="8"/>
  <c r="T62" i="7"/>
  <c r="V60" i="7"/>
  <c r="R35" i="8"/>
  <c r="S214" i="7"/>
  <c r="S221" i="7" s="1"/>
  <c r="S176" i="7"/>
  <c r="S183" i="7" s="1"/>
  <c r="S92" i="7"/>
  <c r="S124" i="7"/>
  <c r="S131" i="7" s="1"/>
  <c r="Z205" i="7"/>
  <c r="Z209" i="7" s="1"/>
  <c r="Z119" i="7"/>
  <c r="AA49" i="9"/>
  <c r="Z204" i="7"/>
  <c r="Z208" i="7" s="1"/>
  <c r="AA48" i="9"/>
  <c r="Z118" i="7"/>
  <c r="Z51" i="9"/>
  <c r="Z54" i="12" s="1"/>
  <c r="Z55" i="12" s="1"/>
  <c r="R215" i="7"/>
  <c r="R222" i="7" s="1"/>
  <c r="R177" i="7"/>
  <c r="R184" i="7" s="1"/>
  <c r="R93" i="7"/>
  <c r="R125" i="7"/>
  <c r="R132" i="7" s="1"/>
  <c r="V62" i="9"/>
  <c r="O239" i="7"/>
  <c r="O240" i="7" s="1"/>
  <c r="P240" i="7" s="1"/>
  <c r="O241" i="7"/>
  <c r="O242" i="7" s="1"/>
  <c r="X25" i="8"/>
  <c r="AA5" i="7"/>
  <c r="AA40" i="9"/>
  <c r="AA231" i="7"/>
  <c r="AA233" i="7" s="1"/>
  <c r="O41" i="8"/>
  <c r="S64" i="7" s="1"/>
  <c r="S63" i="7"/>
  <c r="Q224" i="7"/>
  <c r="Q227" i="7" s="1"/>
  <c r="P292" i="7"/>
  <c r="P73" i="12"/>
  <c r="P247" i="7"/>
  <c r="T47" i="8"/>
  <c r="T45" i="8"/>
  <c r="X6" i="7"/>
  <c r="X51" i="12"/>
  <c r="X41" i="9"/>
  <c r="T31" i="8"/>
  <c r="U26" i="8"/>
  <c r="R216" i="7"/>
  <c r="R223" i="7" s="1"/>
  <c r="R224" i="7" s="1"/>
  <c r="R178" i="7"/>
  <c r="R185" i="7" s="1"/>
  <c r="R186" i="7" s="1"/>
  <c r="R94" i="7"/>
  <c r="R97" i="7" s="1"/>
  <c r="R126" i="7"/>
  <c r="R133" i="7" s="1"/>
  <c r="R136" i="7" s="1"/>
  <c r="AB54" i="9"/>
  <c r="P256" i="7"/>
  <c r="P74" i="12"/>
  <c r="P293" i="7"/>
  <c r="V44" i="7"/>
  <c r="V47" i="7" s="1"/>
  <c r="V235" i="7" s="1"/>
  <c r="U212" i="7"/>
  <c r="U219" i="7" s="1"/>
  <c r="U174" i="7"/>
  <c r="U181" i="7" s="1"/>
  <c r="U90" i="7"/>
  <c r="U122" i="7"/>
  <c r="U129" i="7" s="1"/>
  <c r="Q136" i="7"/>
  <c r="R227" i="7" l="1"/>
  <c r="R256" i="7" s="1"/>
  <c r="P242" i="7"/>
  <c r="R74" i="12"/>
  <c r="R238" i="7"/>
  <c r="R291" i="7"/>
  <c r="R72" i="12"/>
  <c r="Q256" i="7"/>
  <c r="Q74" i="12"/>
  <c r="Q293" i="7"/>
  <c r="AA205" i="7"/>
  <c r="AA209" i="7" s="1"/>
  <c r="AA119" i="7"/>
  <c r="V61" i="7"/>
  <c r="R37" i="8"/>
  <c r="Q238" i="7"/>
  <c r="Q72" i="12"/>
  <c r="Q291" i="7"/>
  <c r="U175" i="7"/>
  <c r="U182" i="7" s="1"/>
  <c r="U213" i="7"/>
  <c r="U220" i="7" s="1"/>
  <c r="U91" i="7"/>
  <c r="U123" i="7"/>
  <c r="U130" i="7" s="1"/>
  <c r="W211" i="7"/>
  <c r="W218" i="7" s="1"/>
  <c r="W173" i="7"/>
  <c r="W180" i="7" s="1"/>
  <c r="W89" i="7"/>
  <c r="W121" i="7"/>
  <c r="W128" i="7" s="1"/>
  <c r="S178" i="7"/>
  <c r="S185" i="7" s="1"/>
  <c r="S216" i="7"/>
  <c r="S223" i="7" s="1"/>
  <c r="S94" i="7"/>
  <c r="S126" i="7"/>
  <c r="S133" i="7" s="1"/>
  <c r="Y25" i="8"/>
  <c r="AB40" i="9"/>
  <c r="AB231" i="7"/>
  <c r="AB233" i="7" s="1"/>
  <c r="AB5" i="7"/>
  <c r="V174" i="7"/>
  <c r="V181" i="7" s="1"/>
  <c r="V212" i="7"/>
  <c r="V219" i="7" s="1"/>
  <c r="V90" i="7"/>
  <c r="V122" i="7"/>
  <c r="V129" i="7" s="1"/>
  <c r="Q39" i="8"/>
  <c r="U62" i="7"/>
  <c r="S35" i="8"/>
  <c r="W60" i="7"/>
  <c r="X39" i="7"/>
  <c r="X40" i="7" s="1"/>
  <c r="X59" i="9"/>
  <c r="X60" i="9" s="1"/>
  <c r="Q292" i="7"/>
  <c r="Q73" i="12"/>
  <c r="Q247" i="7"/>
  <c r="R73" i="12"/>
  <c r="R247" i="7"/>
  <c r="R292" i="7"/>
  <c r="U47" i="8"/>
  <c r="U45" i="8"/>
  <c r="Y51" i="12"/>
  <c r="Y6" i="7"/>
  <c r="Y41" i="9"/>
  <c r="U31" i="8"/>
  <c r="V26" i="8"/>
  <c r="AA204" i="7"/>
  <c r="AA208" i="7" s="1"/>
  <c r="AB49" i="9"/>
  <c r="AB48" i="9"/>
  <c r="AA118" i="7"/>
  <c r="AA51" i="9"/>
  <c r="AA54" i="12" s="1"/>
  <c r="AA55" i="12" s="1"/>
  <c r="T176" i="7"/>
  <c r="T183" i="7" s="1"/>
  <c r="T214" i="7"/>
  <c r="T221" i="7" s="1"/>
  <c r="T92" i="7"/>
  <c r="T124" i="7"/>
  <c r="T131" i="7" s="1"/>
  <c r="W62" i="9"/>
  <c r="AC54" i="9"/>
  <c r="P257" i="7"/>
  <c r="P258" i="7" s="1"/>
  <c r="P259" i="7"/>
  <c r="T33" i="8"/>
  <c r="X59" i="7"/>
  <c r="X33" i="7"/>
  <c r="X34" i="7" s="1"/>
  <c r="X44" i="7" s="1"/>
  <c r="X47" i="7" s="1"/>
  <c r="X235" i="7" s="1"/>
  <c r="X56" i="9"/>
  <c r="X57" i="9" s="1"/>
  <c r="P250" i="7"/>
  <c r="P248" i="7"/>
  <c r="P249" i="7" s="1"/>
  <c r="S215" i="7"/>
  <c r="S222" i="7" s="1"/>
  <c r="S177" i="7"/>
  <c r="S184" i="7" s="1"/>
  <c r="S186" i="7" s="1"/>
  <c r="S125" i="7"/>
  <c r="S132" i="7" s="1"/>
  <c r="S93" i="7"/>
  <c r="P41" i="8"/>
  <c r="T64" i="7" s="1"/>
  <c r="T63" i="7"/>
  <c r="W44" i="7"/>
  <c r="W47" i="7" s="1"/>
  <c r="W235" i="7" s="1"/>
  <c r="R293" i="7" l="1"/>
  <c r="X62" i="9"/>
  <c r="Q41" i="8"/>
  <c r="U64" i="7" s="1"/>
  <c r="U63" i="7"/>
  <c r="Z25" i="8"/>
  <c r="AC231" i="7"/>
  <c r="AC233" i="7" s="1"/>
  <c r="AC5" i="7"/>
  <c r="AC40" i="9"/>
  <c r="V213" i="7"/>
  <c r="V220" i="7" s="1"/>
  <c r="V175" i="7"/>
  <c r="V182" i="7" s="1"/>
  <c r="V91" i="7"/>
  <c r="V123" i="7"/>
  <c r="V130" i="7" s="1"/>
  <c r="R259" i="7"/>
  <c r="R257" i="7"/>
  <c r="V47" i="8"/>
  <c r="V45" i="8"/>
  <c r="Z41" i="9"/>
  <c r="Z51" i="12"/>
  <c r="Z6" i="7"/>
  <c r="V31" i="8"/>
  <c r="W26" i="8"/>
  <c r="R250" i="7"/>
  <c r="R248" i="7"/>
  <c r="S37" i="8"/>
  <c r="W61" i="7"/>
  <c r="T178" i="7"/>
  <c r="T185" i="7" s="1"/>
  <c r="T216" i="7"/>
  <c r="T223" i="7" s="1"/>
  <c r="T126" i="7"/>
  <c r="T133" i="7" s="1"/>
  <c r="T94" i="7"/>
  <c r="P251" i="7"/>
  <c r="AB204" i="7"/>
  <c r="AB208" i="7" s="1"/>
  <c r="AC49" i="9"/>
  <c r="AB51" i="9"/>
  <c r="AB54" i="12" s="1"/>
  <c r="AB55" i="12" s="1"/>
  <c r="AB118" i="7"/>
  <c r="AC48" i="9"/>
  <c r="U33" i="8"/>
  <c r="Y59" i="7"/>
  <c r="Y33" i="7"/>
  <c r="Y34" i="7" s="1"/>
  <c r="Y56" i="9"/>
  <c r="Y57" i="9" s="1"/>
  <c r="S136" i="7"/>
  <c r="Q239" i="7"/>
  <c r="Q240" i="7" s="1"/>
  <c r="Q241" i="7"/>
  <c r="T35" i="8"/>
  <c r="X60" i="7"/>
  <c r="AD54" i="9"/>
  <c r="W174" i="7"/>
  <c r="W181" i="7" s="1"/>
  <c r="W212" i="7"/>
  <c r="W219" i="7" s="1"/>
  <c r="W90" i="7"/>
  <c r="W122" i="7"/>
  <c r="W129" i="7" s="1"/>
  <c r="S224" i="7"/>
  <c r="S227" i="7" s="1"/>
  <c r="T215" i="7"/>
  <c r="T222" i="7" s="1"/>
  <c r="T177" i="7"/>
  <c r="T184" i="7" s="1"/>
  <c r="T125" i="7"/>
  <c r="T132" i="7" s="1"/>
  <c r="T93" i="7"/>
  <c r="X211" i="7"/>
  <c r="X218" i="7" s="1"/>
  <c r="X173" i="7"/>
  <c r="X180" i="7" s="1"/>
  <c r="X89" i="7"/>
  <c r="X121" i="7"/>
  <c r="X128" i="7" s="1"/>
  <c r="AB205" i="7"/>
  <c r="AB209" i="7" s="1"/>
  <c r="AB119" i="7"/>
  <c r="Y39" i="7"/>
  <c r="Y40" i="7" s="1"/>
  <c r="Y59" i="9"/>
  <c r="Y60" i="9" s="1"/>
  <c r="Q250" i="7"/>
  <c r="Q248" i="7"/>
  <c r="Q249" i="7" s="1"/>
  <c r="R249" i="7" s="1"/>
  <c r="U214" i="7"/>
  <c r="U221" i="7" s="1"/>
  <c r="U176" i="7"/>
  <c r="U183" i="7" s="1"/>
  <c r="U92" i="7"/>
  <c r="U124" i="7"/>
  <c r="U131" i="7" s="1"/>
  <c r="S97" i="7"/>
  <c r="V62" i="7"/>
  <c r="R39" i="8"/>
  <c r="Q257" i="7"/>
  <c r="Q258" i="7" s="1"/>
  <c r="Q259" i="7"/>
  <c r="R239" i="7"/>
  <c r="R241" i="7"/>
  <c r="P260" i="7"/>
  <c r="R258" i="7" l="1"/>
  <c r="Q260" i="7"/>
  <c r="R260" i="7" s="1"/>
  <c r="Y62" i="9"/>
  <c r="T224" i="7"/>
  <c r="Q251" i="7"/>
  <c r="R251" i="7" s="1"/>
  <c r="T186" i="7"/>
  <c r="T37" i="8"/>
  <c r="X61" i="7"/>
  <c r="S39" i="8"/>
  <c r="W62" i="7"/>
  <c r="V33" i="8"/>
  <c r="Z59" i="7"/>
  <c r="Z33" i="7"/>
  <c r="Z34" i="7" s="1"/>
  <c r="Z56" i="9"/>
  <c r="Z57" i="9" s="1"/>
  <c r="V63" i="7"/>
  <c r="R41" i="8"/>
  <c r="V64" i="7" s="1"/>
  <c r="S256" i="7"/>
  <c r="S293" i="7"/>
  <c r="S74" i="12"/>
  <c r="S292" i="7"/>
  <c r="S247" i="7"/>
  <c r="S73" i="12"/>
  <c r="AC204" i="7"/>
  <c r="AC208" i="7" s="1"/>
  <c r="AD49" i="9"/>
  <c r="AD48" i="9"/>
  <c r="AC51" i="9"/>
  <c r="AC54" i="12" s="1"/>
  <c r="AC55" i="12" s="1"/>
  <c r="AC118" i="7"/>
  <c r="Z39" i="7"/>
  <c r="Z40" i="7" s="1"/>
  <c r="Z59" i="9"/>
  <c r="Z60" i="9" s="1"/>
  <c r="AA25" i="8"/>
  <c r="AD231" i="7"/>
  <c r="AD233" i="7" s="1"/>
  <c r="AD5" i="7"/>
  <c r="AD40" i="9"/>
  <c r="AC205" i="7"/>
  <c r="AC209" i="7" s="1"/>
  <c r="AC119" i="7"/>
  <c r="Q242" i="7"/>
  <c r="R242" i="7" s="1"/>
  <c r="AE54" i="9"/>
  <c r="R240" i="7"/>
  <c r="Y44" i="7"/>
  <c r="Y47" i="7" s="1"/>
  <c r="Y235" i="7" s="1"/>
  <c r="T97" i="7"/>
  <c r="U177" i="7"/>
  <c r="U184" i="7" s="1"/>
  <c r="U215" i="7"/>
  <c r="U222" i="7" s="1"/>
  <c r="U93" i="7"/>
  <c r="U125" i="7"/>
  <c r="U132" i="7" s="1"/>
  <c r="U35" i="8"/>
  <c r="Y60" i="7"/>
  <c r="V176" i="7"/>
  <c r="V183" i="7" s="1"/>
  <c r="V214" i="7"/>
  <c r="V221" i="7" s="1"/>
  <c r="V124" i="7"/>
  <c r="V131" i="7" s="1"/>
  <c r="V92" i="7"/>
  <c r="S238" i="7"/>
  <c r="S72" i="12"/>
  <c r="S291" i="7"/>
  <c r="X174" i="7"/>
  <c r="X181" i="7" s="1"/>
  <c r="X212" i="7"/>
  <c r="X219" i="7" s="1"/>
  <c r="X90" i="7"/>
  <c r="X122" i="7"/>
  <c r="X129" i="7" s="1"/>
  <c r="Y211" i="7"/>
  <c r="Y218" i="7" s="1"/>
  <c r="Y173" i="7"/>
  <c r="Y180" i="7" s="1"/>
  <c r="Y89" i="7"/>
  <c r="Y121" i="7"/>
  <c r="Y128" i="7" s="1"/>
  <c r="T136" i="7"/>
  <c r="W213" i="7"/>
  <c r="W220" i="7" s="1"/>
  <c r="W175" i="7"/>
  <c r="W182" i="7" s="1"/>
  <c r="W91" i="7"/>
  <c r="W123" i="7"/>
  <c r="W130" i="7" s="1"/>
  <c r="W47" i="8"/>
  <c r="W45" i="8"/>
  <c r="AA41" i="9"/>
  <c r="AA6" i="7"/>
  <c r="AA51" i="12"/>
  <c r="W31" i="8"/>
  <c r="X26" i="8"/>
  <c r="U216" i="7"/>
  <c r="U223" i="7" s="1"/>
  <c r="U224" i="7" s="1"/>
  <c r="U178" i="7"/>
  <c r="U185" i="7" s="1"/>
  <c r="U94" i="7"/>
  <c r="U126" i="7"/>
  <c r="U133" i="7" s="1"/>
  <c r="U136" i="7" s="1"/>
  <c r="T227" i="7" l="1"/>
  <c r="T256" i="7" s="1"/>
  <c r="U186" i="7"/>
  <c r="U227" i="7" s="1"/>
  <c r="U97" i="7"/>
  <c r="U72" i="12" s="1"/>
  <c r="X47" i="8"/>
  <c r="X45" i="8"/>
  <c r="AB51" i="12"/>
  <c r="AB6" i="7"/>
  <c r="AB41" i="9"/>
  <c r="X31" i="8"/>
  <c r="Y26" i="8"/>
  <c r="S241" i="7"/>
  <c r="S242" i="7" s="1"/>
  <c r="S239" i="7"/>
  <c r="S240" i="7" s="1"/>
  <c r="V35" i="8"/>
  <c r="Z60" i="7"/>
  <c r="X213" i="7"/>
  <c r="X220" i="7" s="1"/>
  <c r="X175" i="7"/>
  <c r="X182" i="7" s="1"/>
  <c r="X91" i="7"/>
  <c r="X123" i="7"/>
  <c r="X130" i="7" s="1"/>
  <c r="T291" i="7"/>
  <c r="T72" i="12"/>
  <c r="T238" i="7"/>
  <c r="AF54" i="9"/>
  <c r="AD204" i="7"/>
  <c r="AD208" i="7" s="1"/>
  <c r="AE49" i="9"/>
  <c r="AD118" i="7"/>
  <c r="AD51" i="9"/>
  <c r="AD54" i="12" s="1"/>
  <c r="AD55" i="12" s="1"/>
  <c r="AE48" i="9"/>
  <c r="S250" i="7"/>
  <c r="S251" i="7" s="1"/>
  <c r="S248" i="7"/>
  <c r="S249" i="7" s="1"/>
  <c r="S257" i="7"/>
  <c r="S258" i="7" s="1"/>
  <c r="S259" i="7"/>
  <c r="S260" i="7" s="1"/>
  <c r="Z62" i="9"/>
  <c r="W176" i="7"/>
  <c r="W183" i="7" s="1"/>
  <c r="W214" i="7"/>
  <c r="W221" i="7" s="1"/>
  <c r="W92" i="7"/>
  <c r="W124" i="7"/>
  <c r="W131" i="7" s="1"/>
  <c r="T39" i="8"/>
  <c r="X62" i="7"/>
  <c r="W33" i="8"/>
  <c r="AA59" i="7"/>
  <c r="AA59" i="9"/>
  <c r="AA60" i="9" s="1"/>
  <c r="AA39" i="7"/>
  <c r="AA40" i="7" s="1"/>
  <c r="Y174" i="7"/>
  <c r="Y181" i="7" s="1"/>
  <c r="Y212" i="7"/>
  <c r="Y219" i="7" s="1"/>
  <c r="Y90" i="7"/>
  <c r="Y122" i="7"/>
  <c r="Y129" i="7" s="1"/>
  <c r="AD205" i="7"/>
  <c r="AD209" i="7" s="1"/>
  <c r="AD119" i="7"/>
  <c r="V178" i="7"/>
  <c r="V185" i="7" s="1"/>
  <c r="V216" i="7"/>
  <c r="V223" i="7" s="1"/>
  <c r="V94" i="7"/>
  <c r="V126" i="7"/>
  <c r="V133" i="7" s="1"/>
  <c r="Z44" i="7"/>
  <c r="Z47" i="7" s="1"/>
  <c r="Z235" i="7" s="1"/>
  <c r="S41" i="8"/>
  <c r="W64" i="7" s="1"/>
  <c r="W63" i="7"/>
  <c r="U73" i="12"/>
  <c r="U247" i="7"/>
  <c r="U292" i="7"/>
  <c r="U291" i="7"/>
  <c r="AA33" i="7"/>
  <c r="AA34" i="7" s="1"/>
  <c r="AA56" i="9"/>
  <c r="AA57" i="9" s="1"/>
  <c r="T73" i="12"/>
  <c r="T292" i="7"/>
  <c r="T247" i="7"/>
  <c r="U37" i="8"/>
  <c r="Y61" i="7"/>
  <c r="AB25" i="8"/>
  <c r="AE40" i="9"/>
  <c r="AE5" i="7"/>
  <c r="AE231" i="7"/>
  <c r="AE233" i="7" s="1"/>
  <c r="V177" i="7"/>
  <c r="V184" i="7" s="1"/>
  <c r="V215" i="7"/>
  <c r="V222" i="7" s="1"/>
  <c r="V93" i="7"/>
  <c r="V125" i="7"/>
  <c r="V132" i="7" s="1"/>
  <c r="Z211" i="7"/>
  <c r="Z218" i="7" s="1"/>
  <c r="Z173" i="7"/>
  <c r="Z180" i="7" s="1"/>
  <c r="Z121" i="7"/>
  <c r="Z128" i="7" s="1"/>
  <c r="Z89" i="7"/>
  <c r="T257" i="7"/>
  <c r="T259" i="7"/>
  <c r="T74" i="12" l="1"/>
  <c r="T293" i="7"/>
  <c r="AA44" i="7"/>
  <c r="AA47" i="7" s="1"/>
  <c r="AA235" i="7" s="1"/>
  <c r="U238" i="7"/>
  <c r="AA62" i="9"/>
  <c r="V97" i="7"/>
  <c r="V238" i="7" s="1"/>
  <c r="V186" i="7"/>
  <c r="V224" i="7"/>
  <c r="AA173" i="7"/>
  <c r="AA180" i="7" s="1"/>
  <c r="AA211" i="7"/>
  <c r="AA218" i="7" s="1"/>
  <c r="AA89" i="7"/>
  <c r="AA121" i="7"/>
  <c r="AA128" i="7" s="1"/>
  <c r="T41" i="8"/>
  <c r="X64" i="7" s="1"/>
  <c r="X63" i="7"/>
  <c r="T250" i="7"/>
  <c r="T251" i="7" s="1"/>
  <c r="T248" i="7"/>
  <c r="T249" i="7" s="1"/>
  <c r="W35" i="8"/>
  <c r="AA60" i="7"/>
  <c r="AE205" i="7"/>
  <c r="AE209" i="7" s="1"/>
  <c r="AE119" i="7"/>
  <c r="AG54" i="9"/>
  <c r="Z174" i="7"/>
  <c r="Z181" i="7" s="1"/>
  <c r="Z212" i="7"/>
  <c r="Z219" i="7" s="1"/>
  <c r="Z90" i="7"/>
  <c r="Z122" i="7"/>
  <c r="Z129" i="7" s="1"/>
  <c r="Y47" i="8"/>
  <c r="Y45" i="8"/>
  <c r="AC41" i="9"/>
  <c r="AC51" i="12"/>
  <c r="AC6" i="7"/>
  <c r="Y31" i="8"/>
  <c r="Z26" i="8"/>
  <c r="W215" i="7"/>
  <c r="W222" i="7" s="1"/>
  <c r="W177" i="7"/>
  <c r="W184" i="7" s="1"/>
  <c r="W125" i="7"/>
  <c r="W132" i="7" s="1"/>
  <c r="W93" i="7"/>
  <c r="W178" i="7"/>
  <c r="W185" i="7" s="1"/>
  <c r="W216" i="7"/>
  <c r="W223" i="7" s="1"/>
  <c r="W94" i="7"/>
  <c r="W126" i="7"/>
  <c r="W133" i="7" s="1"/>
  <c r="Y213" i="7"/>
  <c r="Y220" i="7" s="1"/>
  <c r="Y175" i="7"/>
  <c r="Y182" i="7" s="1"/>
  <c r="Y91" i="7"/>
  <c r="Y123" i="7"/>
  <c r="Y130" i="7" s="1"/>
  <c r="U250" i="7"/>
  <c r="U248" i="7"/>
  <c r="T260" i="7"/>
  <c r="AF49" i="9"/>
  <c r="AE204" i="7"/>
  <c r="AE208" i="7" s="1"/>
  <c r="AE118" i="7"/>
  <c r="AE51" i="9"/>
  <c r="AE54" i="12" s="1"/>
  <c r="AE55" i="12" s="1"/>
  <c r="AF48" i="9"/>
  <c r="T239" i="7"/>
  <c r="T240" i="7" s="1"/>
  <c r="T241" i="7"/>
  <c r="T242" i="7" s="1"/>
  <c r="V37" i="8"/>
  <c r="Z61" i="7"/>
  <c r="X33" i="8"/>
  <c r="AB59" i="7"/>
  <c r="AB33" i="7"/>
  <c r="AB34" i="7" s="1"/>
  <c r="AB56" i="9"/>
  <c r="AB57" i="9" s="1"/>
  <c r="AC25" i="8"/>
  <c r="AF40" i="9"/>
  <c r="AF231" i="7"/>
  <c r="AF233" i="7" s="1"/>
  <c r="AF5" i="7"/>
  <c r="U39" i="8"/>
  <c r="Y62" i="7"/>
  <c r="U241" i="7"/>
  <c r="U239" i="7"/>
  <c r="V136" i="7"/>
  <c r="X176" i="7"/>
  <c r="X183" i="7" s="1"/>
  <c r="X214" i="7"/>
  <c r="X221" i="7" s="1"/>
  <c r="X92" i="7"/>
  <c r="X124" i="7"/>
  <c r="X131" i="7" s="1"/>
  <c r="T258" i="7"/>
  <c r="AB39" i="7"/>
  <c r="AB40" i="7" s="1"/>
  <c r="AB59" i="9"/>
  <c r="AB60" i="9" s="1"/>
  <c r="U256" i="7"/>
  <c r="U293" i="7"/>
  <c r="U74" i="12"/>
  <c r="U251" i="7" l="1"/>
  <c r="AB44" i="7"/>
  <c r="AB47" i="7" s="1"/>
  <c r="AB235" i="7" s="1"/>
  <c r="V72" i="12"/>
  <c r="V227" i="7"/>
  <c r="V256" i="7" s="1"/>
  <c r="U242" i="7"/>
  <c r="W186" i="7"/>
  <c r="V291" i="7"/>
  <c r="AB62" i="9"/>
  <c r="W136" i="7"/>
  <c r="W292" i="7" s="1"/>
  <c r="W97" i="7"/>
  <c r="W72" i="12" s="1"/>
  <c r="Z47" i="8"/>
  <c r="Z45" i="8"/>
  <c r="AD51" i="12"/>
  <c r="AD41" i="9"/>
  <c r="AD6" i="7"/>
  <c r="Z31" i="8"/>
  <c r="AA26" i="8"/>
  <c r="AA174" i="7"/>
  <c r="AA181" i="7" s="1"/>
  <c r="AA212" i="7"/>
  <c r="AA219" i="7" s="1"/>
  <c r="AA122" i="7"/>
  <c r="AA129" i="7" s="1"/>
  <c r="AA90" i="7"/>
  <c r="AG49" i="9"/>
  <c r="AF51" i="9"/>
  <c r="AF54" i="12" s="1"/>
  <c r="AF55" i="12" s="1"/>
  <c r="AF118" i="7"/>
  <c r="AF204" i="7"/>
  <c r="AF208" i="7" s="1"/>
  <c r="AG48" i="9"/>
  <c r="AH54" i="9"/>
  <c r="X178" i="7"/>
  <c r="X185" i="7" s="1"/>
  <c r="X216" i="7"/>
  <c r="X223" i="7" s="1"/>
  <c r="X94" i="7"/>
  <c r="X126" i="7"/>
  <c r="X133" i="7" s="1"/>
  <c r="U259" i="7"/>
  <c r="U260" i="7" s="1"/>
  <c r="U257" i="7"/>
  <c r="U258" i="7" s="1"/>
  <c r="U240" i="7"/>
  <c r="AB173" i="7"/>
  <c r="AB180" i="7" s="1"/>
  <c r="AB211" i="7"/>
  <c r="AB218" i="7" s="1"/>
  <c r="AB89" i="7"/>
  <c r="AB121" i="7"/>
  <c r="AB128" i="7" s="1"/>
  <c r="Y176" i="7"/>
  <c r="Y183" i="7" s="1"/>
  <c r="Y214" i="7"/>
  <c r="Y221" i="7" s="1"/>
  <c r="Y92" i="7"/>
  <c r="Y124" i="7"/>
  <c r="Y131" i="7" s="1"/>
  <c r="AD25" i="8"/>
  <c r="AG5" i="7"/>
  <c r="AG40" i="9"/>
  <c r="AG231" i="7"/>
  <c r="AG233" i="7" s="1"/>
  <c r="X35" i="8"/>
  <c r="AB60" i="7"/>
  <c r="Y33" i="8"/>
  <c r="AC59" i="7"/>
  <c r="AC33" i="7"/>
  <c r="AC34" i="7" s="1"/>
  <c r="AC56" i="9"/>
  <c r="AC57" i="9" s="1"/>
  <c r="W37" i="8"/>
  <c r="AA61" i="7"/>
  <c r="V239" i="7"/>
  <c r="V241" i="7"/>
  <c r="V242" i="7" s="1"/>
  <c r="U249" i="7"/>
  <c r="V39" i="8"/>
  <c r="Z62" i="7"/>
  <c r="AF205" i="7"/>
  <c r="AF209" i="7" s="1"/>
  <c r="AF119" i="7"/>
  <c r="V73" i="12"/>
  <c r="V247" i="7"/>
  <c r="V292" i="7"/>
  <c r="U41" i="8"/>
  <c r="Y64" i="7" s="1"/>
  <c r="Y63" i="7"/>
  <c r="Z213" i="7"/>
  <c r="Z220" i="7" s="1"/>
  <c r="Z175" i="7"/>
  <c r="Z182" i="7" s="1"/>
  <c r="Z123" i="7"/>
  <c r="Z130" i="7" s="1"/>
  <c r="Z91" i="7"/>
  <c r="W224" i="7"/>
  <c r="AC39" i="7"/>
  <c r="AC40" i="7" s="1"/>
  <c r="AC59" i="9"/>
  <c r="AC60" i="9" s="1"/>
  <c r="X215" i="7"/>
  <c r="X222" i="7" s="1"/>
  <c r="X177" i="7"/>
  <c r="X184" i="7" s="1"/>
  <c r="X93" i="7"/>
  <c r="X125" i="7"/>
  <c r="X132" i="7" s="1"/>
  <c r="V259" i="7"/>
  <c r="V257" i="7"/>
  <c r="X186" i="7" l="1"/>
  <c r="V258" i="7"/>
  <c r="W227" i="7"/>
  <c r="V74" i="12"/>
  <c r="W238" i="7"/>
  <c r="X136" i="7"/>
  <c r="X73" i="12" s="1"/>
  <c r="W247" i="7"/>
  <c r="W250" i="7" s="1"/>
  <c r="V293" i="7"/>
  <c r="X97" i="7"/>
  <c r="X72" i="12" s="1"/>
  <c r="W291" i="7"/>
  <c r="X224" i="7"/>
  <c r="W73" i="12"/>
  <c r="V240" i="7"/>
  <c r="V260" i="7"/>
  <c r="Y215" i="7"/>
  <c r="Y222" i="7" s="1"/>
  <c r="Y177" i="7"/>
  <c r="Y184" i="7" s="1"/>
  <c r="Y93" i="7"/>
  <c r="Y125" i="7"/>
  <c r="Y132" i="7" s="1"/>
  <c r="Z176" i="7"/>
  <c r="Z183" i="7" s="1"/>
  <c r="Z214" i="7"/>
  <c r="Z221" i="7" s="1"/>
  <c r="Z92" i="7"/>
  <c r="Z124" i="7"/>
  <c r="Z131" i="7" s="1"/>
  <c r="AC62" i="9"/>
  <c r="AB174" i="7"/>
  <c r="AB181" i="7" s="1"/>
  <c r="AB212" i="7"/>
  <c r="AB219" i="7" s="1"/>
  <c r="AB122" i="7"/>
  <c r="AB129" i="7" s="1"/>
  <c r="AB90" i="7"/>
  <c r="AA45" i="8"/>
  <c r="AA47" i="8"/>
  <c r="AE51" i="12"/>
  <c r="AE41" i="9"/>
  <c r="AE6" i="7"/>
  <c r="AA31" i="8"/>
  <c r="AB26" i="8"/>
  <c r="V248" i="7"/>
  <c r="V249" i="7" s="1"/>
  <c r="V250" i="7"/>
  <c r="V251" i="7" s="1"/>
  <c r="W39" i="8"/>
  <c r="AA62" i="7"/>
  <c r="Y178" i="7"/>
  <c r="Y185" i="7" s="1"/>
  <c r="Y216" i="7"/>
  <c r="Y223" i="7" s="1"/>
  <c r="Y94" i="7"/>
  <c r="Y97" i="7" s="1"/>
  <c r="Y126" i="7"/>
  <c r="Y133" i="7" s="1"/>
  <c r="V41" i="8"/>
  <c r="Z64" i="7" s="1"/>
  <c r="Z63" i="7"/>
  <c r="AC44" i="7"/>
  <c r="AC47" i="7" s="1"/>
  <c r="AC235" i="7" s="1"/>
  <c r="X37" i="8"/>
  <c r="AB61" i="7"/>
  <c r="AI54" i="9"/>
  <c r="Z33" i="8"/>
  <c r="AD59" i="7"/>
  <c r="AD33" i="7"/>
  <c r="AD34" i="7" s="1"/>
  <c r="AD56" i="9"/>
  <c r="AD57" i="9" s="1"/>
  <c r="Y35" i="8"/>
  <c r="AC60" i="7"/>
  <c r="W256" i="7"/>
  <c r="W74" i="12"/>
  <c r="W293" i="7"/>
  <c r="X227" i="7"/>
  <c r="AA175" i="7"/>
  <c r="AA182" i="7" s="1"/>
  <c r="AA213" i="7"/>
  <c r="AA220" i="7" s="1"/>
  <c r="AA91" i="7"/>
  <c r="AA123" i="7"/>
  <c r="AA130" i="7" s="1"/>
  <c r="AC173" i="7"/>
  <c r="AC180" i="7" s="1"/>
  <c r="AC211" i="7"/>
  <c r="AC218" i="7" s="1"/>
  <c r="AC89" i="7"/>
  <c r="AC121" i="7"/>
  <c r="AC128" i="7" s="1"/>
  <c r="AE25" i="8"/>
  <c r="AH231" i="7"/>
  <c r="AH233" i="7" s="1"/>
  <c r="AH40" i="9"/>
  <c r="AH5" i="7"/>
  <c r="W241" i="7"/>
  <c r="W242" i="7" s="1"/>
  <c r="W239" i="7"/>
  <c r="W240" i="7" s="1"/>
  <c r="AH49" i="9"/>
  <c r="AG204" i="7"/>
  <c r="AG208" i="7" s="1"/>
  <c r="AG51" i="9"/>
  <c r="AG54" i="12" s="1"/>
  <c r="AG55" i="12" s="1"/>
  <c r="AG118" i="7"/>
  <c r="AH48" i="9"/>
  <c r="AG205" i="7"/>
  <c r="AG209" i="7" s="1"/>
  <c r="AG119" i="7"/>
  <c r="AD39" i="7"/>
  <c r="AD40" i="7" s="1"/>
  <c r="AD59" i="9"/>
  <c r="AD60" i="9" s="1"/>
  <c r="Y136" i="7" l="1"/>
  <c r="W248" i="7"/>
  <c r="W249" i="7" s="1"/>
  <c r="W251" i="7"/>
  <c r="X291" i="7"/>
  <c r="X247" i="7"/>
  <c r="Y186" i="7"/>
  <c r="X292" i="7"/>
  <c r="X238" i="7"/>
  <c r="X241" i="7" s="1"/>
  <c r="X242" i="7" s="1"/>
  <c r="AI49" i="9"/>
  <c r="AH118" i="7"/>
  <c r="AH51" i="9"/>
  <c r="AH54" i="12" s="1"/>
  <c r="AH55" i="12" s="1"/>
  <c r="AH204" i="7"/>
  <c r="AH208" i="7" s="1"/>
  <c r="AI48" i="9"/>
  <c r="AC174" i="7"/>
  <c r="AC181" i="7" s="1"/>
  <c r="AC212" i="7"/>
  <c r="AC219" i="7" s="1"/>
  <c r="AC90" i="7"/>
  <c r="AC122" i="7"/>
  <c r="AC129" i="7" s="1"/>
  <c r="AD173" i="7"/>
  <c r="AD180" i="7" s="1"/>
  <c r="AD211" i="7"/>
  <c r="AD218" i="7" s="1"/>
  <c r="AD121" i="7"/>
  <c r="AD128" i="7" s="1"/>
  <c r="AD89" i="7"/>
  <c r="Z177" i="7"/>
  <c r="Z184" i="7" s="1"/>
  <c r="Z215" i="7"/>
  <c r="Z222" i="7" s="1"/>
  <c r="Z93" i="7"/>
  <c r="Z125" i="7"/>
  <c r="Z132" i="7" s="1"/>
  <c r="AA176" i="7"/>
  <c r="AA183" i="7" s="1"/>
  <c r="AA214" i="7"/>
  <c r="AA221" i="7" s="1"/>
  <c r="AA92" i="7"/>
  <c r="AA124" i="7"/>
  <c r="AA131" i="7" s="1"/>
  <c r="X250" i="7"/>
  <c r="X251" i="7" s="1"/>
  <c r="X248" i="7"/>
  <c r="AH205" i="7"/>
  <c r="AH209" i="7" s="1"/>
  <c r="AH119" i="7"/>
  <c r="W257" i="7"/>
  <c r="W258" i="7" s="1"/>
  <c r="W259" i="7"/>
  <c r="W260" i="7" s="1"/>
  <c r="Y37" i="8"/>
  <c r="AC61" i="7"/>
  <c r="Z35" i="8"/>
  <c r="AD60" i="7"/>
  <c r="AB175" i="7"/>
  <c r="AB182" i="7" s="1"/>
  <c r="AB213" i="7"/>
  <c r="AB220" i="7" s="1"/>
  <c r="AB91" i="7"/>
  <c r="AB123" i="7"/>
  <c r="AB130" i="7" s="1"/>
  <c r="Z216" i="7"/>
  <c r="Z223" i="7" s="1"/>
  <c r="Z178" i="7"/>
  <c r="Z185" i="7" s="1"/>
  <c r="Z94" i="7"/>
  <c r="Z126" i="7"/>
  <c r="Z133" i="7" s="1"/>
  <c r="W41" i="8"/>
  <c r="AA64" i="7" s="1"/>
  <c r="AA63" i="7"/>
  <c r="AB45" i="8"/>
  <c r="AB47" i="8"/>
  <c r="AF51" i="12"/>
  <c r="AF6" i="7"/>
  <c r="AF41" i="9"/>
  <c r="AB31" i="8"/>
  <c r="AC26" i="8"/>
  <c r="Y224" i="7"/>
  <c r="X256" i="7"/>
  <c r="X293" i="7"/>
  <c r="X74" i="12"/>
  <c r="AD62" i="9"/>
  <c r="X39" i="8"/>
  <c r="AB62" i="7"/>
  <c r="Y73" i="12"/>
  <c r="Y292" i="7"/>
  <c r="Y247" i="7"/>
  <c r="AA33" i="8"/>
  <c r="AE59" i="7"/>
  <c r="AE39" i="7"/>
  <c r="AE40" i="7" s="1"/>
  <c r="AE59" i="9"/>
  <c r="AE60" i="9" s="1"/>
  <c r="AI231" i="7"/>
  <c r="AI233" i="7" s="1"/>
  <c r="AI5" i="7"/>
  <c r="AI40" i="9"/>
  <c r="AD44" i="7"/>
  <c r="AD47" i="7" s="1"/>
  <c r="AD235" i="7" s="1"/>
  <c r="Y72" i="12"/>
  <c r="Y238" i="7"/>
  <c r="Y291" i="7"/>
  <c r="AE33" i="7"/>
  <c r="AE34" i="7" s="1"/>
  <c r="AE56" i="9"/>
  <c r="AE57" i="9" s="1"/>
  <c r="X239" i="7" l="1"/>
  <c r="X240" i="7" s="1"/>
  <c r="Y227" i="7"/>
  <c r="X249" i="7"/>
  <c r="AE62" i="9"/>
  <c r="Z136" i="7"/>
  <c r="Z292" i="7" s="1"/>
  <c r="Y256" i="7"/>
  <c r="Y74" i="12"/>
  <c r="Y293" i="7"/>
  <c r="Y248" i="7"/>
  <c r="Y250" i="7"/>
  <c r="Y251" i="7" s="1"/>
  <c r="AD61" i="7"/>
  <c r="Z37" i="8"/>
  <c r="Z97" i="7"/>
  <c r="AI118" i="7"/>
  <c r="AI204" i="7"/>
  <c r="AI208" i="7" s="1"/>
  <c r="AI51" i="9"/>
  <c r="AI205" i="7"/>
  <c r="AI209" i="7" s="1"/>
  <c r="AI119" i="7"/>
  <c r="AA177" i="7"/>
  <c r="AA184" i="7" s="1"/>
  <c r="AA215" i="7"/>
  <c r="AA222" i="7" s="1"/>
  <c r="AA125" i="7"/>
  <c r="AA132" i="7" s="1"/>
  <c r="AA93" i="7"/>
  <c r="AC45" i="8"/>
  <c r="AC47" i="8"/>
  <c r="AG51" i="12"/>
  <c r="AG41" i="9"/>
  <c r="AG6" i="7"/>
  <c r="AC31" i="8"/>
  <c r="AD26" i="8"/>
  <c r="AA178" i="7"/>
  <c r="AA185" i="7" s="1"/>
  <c r="AA216" i="7"/>
  <c r="AA223" i="7" s="1"/>
  <c r="AA94" i="7"/>
  <c r="AA126" i="7"/>
  <c r="AA133" i="7" s="1"/>
  <c r="AC175" i="7"/>
  <c r="AC182" i="7" s="1"/>
  <c r="AC213" i="7"/>
  <c r="AC220" i="7" s="1"/>
  <c r="AC91" i="7"/>
  <c r="AC123" i="7"/>
  <c r="AC130" i="7" s="1"/>
  <c r="Z224" i="7"/>
  <c r="Y239" i="7"/>
  <c r="Y240" i="7" s="1"/>
  <c r="Y241" i="7"/>
  <c r="Y242" i="7" s="1"/>
  <c r="X41" i="8"/>
  <c r="AB64" i="7" s="1"/>
  <c r="AB63" i="7"/>
  <c r="AE173" i="7"/>
  <c r="AE180" i="7" s="1"/>
  <c r="AE211" i="7"/>
  <c r="AE218" i="7" s="1"/>
  <c r="AE89" i="7"/>
  <c r="AE121" i="7"/>
  <c r="AE128" i="7" s="1"/>
  <c r="AA35" i="8"/>
  <c r="AE60" i="7"/>
  <c r="AF59" i="7"/>
  <c r="AB33" i="8"/>
  <c r="AF39" i="7"/>
  <c r="AF40" i="7" s="1"/>
  <c r="AF59" i="9"/>
  <c r="AF60" i="9" s="1"/>
  <c r="Y39" i="8"/>
  <c r="AC62" i="7"/>
  <c r="Z186" i="7"/>
  <c r="X257" i="7"/>
  <c r="X258" i="7" s="1"/>
  <c r="X259" i="7"/>
  <c r="X260" i="7" s="1"/>
  <c r="AE44" i="7"/>
  <c r="AE47" i="7" s="1"/>
  <c r="AE235" i="7" s="1"/>
  <c r="AB176" i="7"/>
  <c r="AB183" i="7" s="1"/>
  <c r="AB214" i="7"/>
  <c r="AB221" i="7" s="1"/>
  <c r="AB124" i="7"/>
  <c r="AB131" i="7" s="1"/>
  <c r="AB92" i="7"/>
  <c r="AF33" i="7"/>
  <c r="AF34" i="7" s="1"/>
  <c r="AF56" i="9"/>
  <c r="AF57" i="9" s="1"/>
  <c r="AD174" i="7"/>
  <c r="AD181" i="7" s="1"/>
  <c r="AD212" i="7"/>
  <c r="AD219" i="7" s="1"/>
  <c r="AD90" i="7"/>
  <c r="AD122" i="7"/>
  <c r="AD129" i="7" s="1"/>
  <c r="Z247" i="7" l="1"/>
  <c r="Z73" i="12"/>
  <c r="AA136" i="7"/>
  <c r="Y249" i="7"/>
  <c r="Z227" i="7"/>
  <c r="AF44" i="7"/>
  <c r="AF47" i="7" s="1"/>
  <c r="AF235" i="7" s="1"/>
  <c r="AE174" i="7"/>
  <c r="AE181" i="7" s="1"/>
  <c r="AE212" i="7"/>
  <c r="AE219" i="7" s="1"/>
  <c r="AE90" i="7"/>
  <c r="AE122" i="7"/>
  <c r="AE129" i="7" s="1"/>
  <c r="AB178" i="7"/>
  <c r="AB185" i="7" s="1"/>
  <c r="AB216" i="7"/>
  <c r="AB223" i="7" s="1"/>
  <c r="AB94" i="7"/>
  <c r="AB126" i="7"/>
  <c r="AB133" i="7" s="1"/>
  <c r="AG33" i="7"/>
  <c r="AG34" i="7" s="1"/>
  <c r="AG56" i="9"/>
  <c r="AG57" i="9" s="1"/>
  <c r="AC176" i="7"/>
  <c r="AC183" i="7" s="1"/>
  <c r="AC214" i="7"/>
  <c r="AC221" i="7" s="1"/>
  <c r="AC92" i="7"/>
  <c r="AC124" i="7"/>
  <c r="AC131" i="7" s="1"/>
  <c r="AA37" i="8"/>
  <c r="AE61" i="7"/>
  <c r="AA186" i="7"/>
  <c r="AF60" i="7"/>
  <c r="AB35" i="8"/>
  <c r="AA247" i="7"/>
  <c r="AA73" i="12"/>
  <c r="AA292" i="7"/>
  <c r="AD45" i="8"/>
  <c r="AD47" i="8"/>
  <c r="AH41" i="9"/>
  <c r="AH51" i="12"/>
  <c r="AH6" i="7"/>
  <c r="AD31" i="8"/>
  <c r="AE26" i="8"/>
  <c r="Z39" i="8"/>
  <c r="AD62" i="7"/>
  <c r="Z256" i="7"/>
  <c r="Z74" i="12"/>
  <c r="Z293" i="7"/>
  <c r="AF62" i="9"/>
  <c r="Z248" i="7"/>
  <c r="Z249" i="7" s="1"/>
  <c r="Z250" i="7"/>
  <c r="Z251" i="7" s="1"/>
  <c r="Y41" i="8"/>
  <c r="AC64" i="7" s="1"/>
  <c r="AC63" i="7"/>
  <c r="AF211" i="7"/>
  <c r="AF218" i="7" s="1"/>
  <c r="AF173" i="7"/>
  <c r="AF180" i="7" s="1"/>
  <c r="AF121" i="7"/>
  <c r="AF128" i="7" s="1"/>
  <c r="AF89" i="7"/>
  <c r="AB177" i="7"/>
  <c r="AB184" i="7" s="1"/>
  <c r="AB215" i="7"/>
  <c r="AB222" i="7" s="1"/>
  <c r="AB93" i="7"/>
  <c r="AB125" i="7"/>
  <c r="AB132" i="7" s="1"/>
  <c r="AA97" i="7"/>
  <c r="AG59" i="7"/>
  <c r="AC33" i="8"/>
  <c r="AG39" i="7"/>
  <c r="AG40" i="7" s="1"/>
  <c r="AG59" i="9"/>
  <c r="AG60" i="9" s="1"/>
  <c r="AA224" i="7"/>
  <c r="AI54" i="12"/>
  <c r="AI55" i="12" s="1"/>
  <c r="H55" i="12" s="1"/>
  <c r="F57" i="12" s="1"/>
  <c r="P59" i="11" s="1"/>
  <c r="H51" i="9"/>
  <c r="Z72" i="12"/>
  <c r="Z238" i="7"/>
  <c r="Z291" i="7"/>
  <c r="AD175" i="7"/>
  <c r="AD182" i="7" s="1"/>
  <c r="AD213" i="7"/>
  <c r="AD220" i="7" s="1"/>
  <c r="AD123" i="7"/>
  <c r="AD130" i="7" s="1"/>
  <c r="AD91" i="7"/>
  <c r="Y257" i="7"/>
  <c r="Y258" i="7" s="1"/>
  <c r="Y259" i="7"/>
  <c r="Y260" i="7" s="1"/>
  <c r="AB224" i="7" l="1"/>
  <c r="AB186" i="7"/>
  <c r="AB227" i="7" s="1"/>
  <c r="AD176" i="7"/>
  <c r="AD183" i="7" s="1"/>
  <c r="AD214" i="7"/>
  <c r="AD221" i="7" s="1"/>
  <c r="AD92" i="7"/>
  <c r="AD124" i="7"/>
  <c r="AD131" i="7" s="1"/>
  <c r="AH33" i="7"/>
  <c r="AH34" i="7" s="1"/>
  <c r="AH56" i="9"/>
  <c r="AH57" i="9" s="1"/>
  <c r="AE175" i="7"/>
  <c r="AE182" i="7" s="1"/>
  <c r="AE213" i="7"/>
  <c r="AE220" i="7" s="1"/>
  <c r="AE123" i="7"/>
  <c r="AE130" i="7" s="1"/>
  <c r="AE91" i="7"/>
  <c r="AG44" i="7"/>
  <c r="AG47" i="7" s="1"/>
  <c r="AG235" i="7" s="1"/>
  <c r="AC178" i="7"/>
  <c r="AC185" i="7" s="1"/>
  <c r="AC216" i="7"/>
  <c r="AC223" i="7" s="1"/>
  <c r="AC94" i="7"/>
  <c r="AC126" i="7"/>
  <c r="AC133" i="7" s="1"/>
  <c r="Z41" i="8"/>
  <c r="AD64" i="7" s="1"/>
  <c r="AD63" i="7"/>
  <c r="AA227" i="7"/>
  <c r="AA39" i="8"/>
  <c r="AE62" i="7"/>
  <c r="AB136" i="7"/>
  <c r="AC215" i="7"/>
  <c r="AC222" i="7" s="1"/>
  <c r="AC177" i="7"/>
  <c r="AC184" i="7" s="1"/>
  <c r="AC93" i="7"/>
  <c r="AC125" i="7"/>
  <c r="AC132" i="7" s="1"/>
  <c r="AG60" i="7"/>
  <c r="AC35" i="8"/>
  <c r="AE45" i="8"/>
  <c r="AE47" i="8"/>
  <c r="AI51" i="12"/>
  <c r="AI6" i="7"/>
  <c r="AI41" i="9"/>
  <c r="AE31" i="8"/>
  <c r="AF61" i="7"/>
  <c r="AB37" i="8"/>
  <c r="AB97" i="7"/>
  <c r="AA238" i="7"/>
  <c r="AA72" i="12"/>
  <c r="AA291" i="7"/>
  <c r="Z239" i="7"/>
  <c r="Z240" i="7" s="1"/>
  <c r="Z241" i="7"/>
  <c r="Z242" i="7" s="1"/>
  <c r="AG211" i="7"/>
  <c r="AG218" i="7" s="1"/>
  <c r="AG173" i="7"/>
  <c r="AG180" i="7" s="1"/>
  <c r="AG89" i="7"/>
  <c r="AG121" i="7"/>
  <c r="AG128" i="7" s="1"/>
  <c r="Z257" i="7"/>
  <c r="Z258" i="7" s="1"/>
  <c r="Z259" i="7"/>
  <c r="Z260" i="7" s="1"/>
  <c r="AH59" i="7"/>
  <c r="AD33" i="8"/>
  <c r="AH39" i="7"/>
  <c r="AH40" i="7" s="1"/>
  <c r="AH59" i="9"/>
  <c r="AH60" i="9" s="1"/>
  <c r="AA250" i="7"/>
  <c r="AA251" i="7" s="1"/>
  <c r="AA248" i="7"/>
  <c r="AA249" i="7" s="1"/>
  <c r="AF174" i="7"/>
  <c r="AF181" i="7" s="1"/>
  <c r="AF212" i="7"/>
  <c r="AF219" i="7" s="1"/>
  <c r="AF122" i="7"/>
  <c r="AF129" i="7" s="1"/>
  <c r="AF90" i="7"/>
  <c r="AG62" i="9"/>
  <c r="AC224" i="7" l="1"/>
  <c r="AH62" i="9"/>
  <c r="AC186" i="7"/>
  <c r="AC227" i="7" s="1"/>
  <c r="AC256" i="7" s="1"/>
  <c r="AC136" i="7"/>
  <c r="AC247" i="7" s="1"/>
  <c r="AC293" i="7"/>
  <c r="AE176" i="7"/>
  <c r="AE183" i="7" s="1"/>
  <c r="AE214" i="7"/>
  <c r="AE221" i="7" s="1"/>
  <c r="AE124" i="7"/>
  <c r="AE131" i="7" s="1"/>
  <c r="AE92" i="7"/>
  <c r="AF213" i="7"/>
  <c r="AF220" i="7" s="1"/>
  <c r="AF175" i="7"/>
  <c r="AF182" i="7" s="1"/>
  <c r="AF91" i="7"/>
  <c r="AF123" i="7"/>
  <c r="AF130" i="7" s="1"/>
  <c r="AA41" i="8"/>
  <c r="AE64" i="7" s="1"/>
  <c r="AE63" i="7"/>
  <c r="AC292" i="7"/>
  <c r="AH44" i="7"/>
  <c r="AH47" i="7" s="1"/>
  <c r="AH235" i="7" s="1"/>
  <c r="AF62" i="7"/>
  <c r="AB39" i="8"/>
  <c r="AH60" i="7"/>
  <c r="AD35" i="8"/>
  <c r="AG61" i="7"/>
  <c r="AC37" i="8"/>
  <c r="AA239" i="7"/>
  <c r="AA240" i="7" s="1"/>
  <c r="AA241" i="7"/>
  <c r="AA242" i="7" s="1"/>
  <c r="AI59" i="7"/>
  <c r="AE33" i="8"/>
  <c r="AI39" i="7"/>
  <c r="AI40" i="7" s="1"/>
  <c r="H40" i="7" s="1"/>
  <c r="AI59" i="9"/>
  <c r="AI60" i="9" s="1"/>
  <c r="AG174" i="7"/>
  <c r="AG181" i="7" s="1"/>
  <c r="AG212" i="7"/>
  <c r="AG219" i="7" s="1"/>
  <c r="AG90" i="7"/>
  <c r="AG122" i="7"/>
  <c r="AG129" i="7" s="1"/>
  <c r="AA256" i="7"/>
  <c r="AA74" i="12"/>
  <c r="AA293" i="7"/>
  <c r="AC97" i="7"/>
  <c r="AD178" i="7"/>
  <c r="AD185" i="7" s="1"/>
  <c r="AD216" i="7"/>
  <c r="AD223" i="7" s="1"/>
  <c r="AD94" i="7"/>
  <c r="AD126" i="7"/>
  <c r="AD133" i="7" s="1"/>
  <c r="AH211" i="7"/>
  <c r="AH218" i="7" s="1"/>
  <c r="AH173" i="7"/>
  <c r="AH180" i="7" s="1"/>
  <c r="AH89" i="7"/>
  <c r="AH121" i="7"/>
  <c r="AH128" i="7" s="1"/>
  <c r="AB72" i="12"/>
  <c r="AB238" i="7"/>
  <c r="AB291" i="7"/>
  <c r="AI33" i="7"/>
  <c r="AI34" i="7" s="1"/>
  <c r="AI56" i="9"/>
  <c r="AI57" i="9" s="1"/>
  <c r="AB247" i="7"/>
  <c r="AB73" i="12"/>
  <c r="AB292" i="7"/>
  <c r="AD177" i="7"/>
  <c r="AD184" i="7" s="1"/>
  <c r="AD215" i="7"/>
  <c r="AD222" i="7" s="1"/>
  <c r="AD125" i="7"/>
  <c r="AD132" i="7" s="1"/>
  <c r="AD93" i="7"/>
  <c r="AB256" i="7"/>
  <c r="AB293" i="7"/>
  <c r="AB74" i="12"/>
  <c r="AC73" i="12" l="1"/>
  <c r="AC74" i="12"/>
  <c r="AI62" i="9"/>
  <c r="H62" i="9" s="1"/>
  <c r="F273" i="7" s="1"/>
  <c r="AD224" i="7"/>
  <c r="AH61" i="7"/>
  <c r="AD37" i="8"/>
  <c r="AC250" i="7"/>
  <c r="AC248" i="7"/>
  <c r="AE35" i="8"/>
  <c r="AI60" i="7"/>
  <c r="AD186" i="7"/>
  <c r="AA257" i="7"/>
  <c r="AA258" i="7" s="1"/>
  <c r="AA259" i="7"/>
  <c r="AA260" i="7" s="1"/>
  <c r="AI173" i="7"/>
  <c r="AI180" i="7" s="1"/>
  <c r="AI211" i="7"/>
  <c r="AI218" i="7" s="1"/>
  <c r="AI121" i="7"/>
  <c r="AI128" i="7" s="1"/>
  <c r="AI89" i="7"/>
  <c r="AH174" i="7"/>
  <c r="AH181" i="7" s="1"/>
  <c r="AH212" i="7"/>
  <c r="AH219" i="7" s="1"/>
  <c r="AH90" i="7"/>
  <c r="AH122" i="7"/>
  <c r="AH129" i="7" s="1"/>
  <c r="AE177" i="7"/>
  <c r="AE184" i="7" s="1"/>
  <c r="AE215" i="7"/>
  <c r="AE222" i="7" s="1"/>
  <c r="AE125" i="7"/>
  <c r="AE132" i="7" s="1"/>
  <c r="AE93" i="7"/>
  <c r="AB248" i="7"/>
  <c r="AB249" i="7" s="1"/>
  <c r="AB250" i="7"/>
  <c r="AB251" i="7" s="1"/>
  <c r="AB241" i="7"/>
  <c r="AB242" i="7" s="1"/>
  <c r="AB239" i="7"/>
  <c r="AB240" i="7" s="1"/>
  <c r="AB257" i="7"/>
  <c r="AB259" i="7"/>
  <c r="AD136" i="7"/>
  <c r="AG62" i="7"/>
  <c r="AC39" i="8"/>
  <c r="AF63" i="7"/>
  <c r="AB41" i="8"/>
  <c r="AF64" i="7" s="1"/>
  <c r="AE178" i="7"/>
  <c r="AE185" i="7" s="1"/>
  <c r="AE216" i="7"/>
  <c r="AE223" i="7" s="1"/>
  <c r="AE94" i="7"/>
  <c r="AE126" i="7"/>
  <c r="AE133" i="7" s="1"/>
  <c r="AE136" i="7" s="1"/>
  <c r="AC238" i="7"/>
  <c r="AC291" i="7"/>
  <c r="AC72" i="12"/>
  <c r="AI44" i="7"/>
  <c r="H34" i="7"/>
  <c r="AD97" i="7"/>
  <c r="AG213" i="7"/>
  <c r="AG220" i="7" s="1"/>
  <c r="AG175" i="7"/>
  <c r="AG182" i="7" s="1"/>
  <c r="AG91" i="7"/>
  <c r="AG123" i="7"/>
  <c r="AG130" i="7" s="1"/>
  <c r="AF176" i="7"/>
  <c r="AF183" i="7" s="1"/>
  <c r="AF214" i="7"/>
  <c r="AF221" i="7" s="1"/>
  <c r="AF92" i="7"/>
  <c r="AF124" i="7"/>
  <c r="AF131" i="7" s="1"/>
  <c r="AC257" i="7"/>
  <c r="AC259" i="7"/>
  <c r="AC251" i="7" l="1"/>
  <c r="AD227" i="7"/>
  <c r="AE224" i="7"/>
  <c r="AC249" i="7"/>
  <c r="AE186" i="7"/>
  <c r="AE227" i="7" s="1"/>
  <c r="AE256" i="7" s="1"/>
  <c r="AE73" i="12"/>
  <c r="AE292" i="7"/>
  <c r="AE247" i="7"/>
  <c r="AC239" i="7"/>
  <c r="AC240" i="7" s="1"/>
  <c r="AC241" i="7"/>
  <c r="AC242" i="7" s="1"/>
  <c r="AE97" i="7"/>
  <c r="AB260" i="7"/>
  <c r="AC260" i="7" s="1"/>
  <c r="AI174" i="7"/>
  <c r="AI181" i="7" s="1"/>
  <c r="AI212" i="7"/>
  <c r="AI219" i="7" s="1"/>
  <c r="AI122" i="7"/>
  <c r="AI129" i="7" s="1"/>
  <c r="AI90" i="7"/>
  <c r="AH62" i="7"/>
  <c r="AD39" i="8"/>
  <c r="AD247" i="7"/>
  <c r="AD73" i="12"/>
  <c r="AD292" i="7"/>
  <c r="AI47" i="7"/>
  <c r="H44" i="7"/>
  <c r="F28" i="11" s="1"/>
  <c r="AG63" i="7"/>
  <c r="AC41" i="8"/>
  <c r="AG64" i="7" s="1"/>
  <c r="AB258" i="7"/>
  <c r="AC258" i="7" s="1"/>
  <c r="AI61" i="7"/>
  <c r="AE37" i="8"/>
  <c r="AH213" i="7"/>
  <c r="AH220" i="7" s="1"/>
  <c r="AH175" i="7"/>
  <c r="AH182" i="7" s="1"/>
  <c r="AH91" i="7"/>
  <c r="AH123" i="7"/>
  <c r="AH130" i="7" s="1"/>
  <c r="AF178" i="7"/>
  <c r="AF185" i="7" s="1"/>
  <c r="AF216" i="7"/>
  <c r="AF223" i="7" s="1"/>
  <c r="AF94" i="7"/>
  <c r="AF126" i="7"/>
  <c r="AF133" i="7" s="1"/>
  <c r="AD291" i="7"/>
  <c r="AD72" i="12"/>
  <c r="AD238" i="7"/>
  <c r="AF215" i="7"/>
  <c r="AF222" i="7" s="1"/>
  <c r="AF177" i="7"/>
  <c r="AF184" i="7" s="1"/>
  <c r="AF93" i="7"/>
  <c r="AF125" i="7"/>
  <c r="AF132" i="7" s="1"/>
  <c r="AG176" i="7"/>
  <c r="AG183" i="7" s="1"/>
  <c r="AG214" i="7"/>
  <c r="AG221" i="7" s="1"/>
  <c r="AG92" i="7"/>
  <c r="AG124" i="7"/>
  <c r="AG131" i="7" s="1"/>
  <c r="AD256" i="7"/>
  <c r="AD74" i="12"/>
  <c r="AD293" i="7"/>
  <c r="AF224" i="7" l="1"/>
  <c r="AE293" i="7"/>
  <c r="AE74" i="12"/>
  <c r="AF186" i="7"/>
  <c r="AF227" i="7" s="1"/>
  <c r="AD257" i="7"/>
  <c r="AD258" i="7" s="1"/>
  <c r="AD259" i="7"/>
  <c r="AD260" i="7" s="1"/>
  <c r="AD239" i="7"/>
  <c r="AD240" i="7" s="1"/>
  <c r="AD241" i="7"/>
  <c r="AD242" i="7" s="1"/>
  <c r="AF97" i="7"/>
  <c r="AI175" i="7"/>
  <c r="AI182" i="7" s="1"/>
  <c r="AI213" i="7"/>
  <c r="AI220" i="7" s="1"/>
  <c r="AI91" i="7"/>
  <c r="AI123" i="7"/>
  <c r="AI130" i="7" s="1"/>
  <c r="AG178" i="7"/>
  <c r="AG185" i="7" s="1"/>
  <c r="AG216" i="7"/>
  <c r="AG223" i="7" s="1"/>
  <c r="AG94" i="7"/>
  <c r="AG126" i="7"/>
  <c r="AG133" i="7" s="1"/>
  <c r="AH176" i="7"/>
  <c r="AH183" i="7" s="1"/>
  <c r="AH214" i="7"/>
  <c r="AH221" i="7" s="1"/>
  <c r="AH124" i="7"/>
  <c r="AH131" i="7" s="1"/>
  <c r="AH92" i="7"/>
  <c r="AE248" i="7"/>
  <c r="AE250" i="7"/>
  <c r="AG215" i="7"/>
  <c r="AG222" i="7" s="1"/>
  <c r="AG177" i="7"/>
  <c r="AG184" i="7" s="1"/>
  <c r="AG93" i="7"/>
  <c r="AG125" i="7"/>
  <c r="AG132" i="7" s="1"/>
  <c r="AD250" i="7"/>
  <c r="AD251" i="7" s="1"/>
  <c r="AD248" i="7"/>
  <c r="AD249" i="7" s="1"/>
  <c r="AF136" i="7"/>
  <c r="AE39" i="8"/>
  <c r="AI62" i="7"/>
  <c r="AI235" i="7"/>
  <c r="H47" i="7"/>
  <c r="H235" i="7" s="1"/>
  <c r="F272" i="7" s="1"/>
  <c r="F274" i="7" s="1"/>
  <c r="F30" i="11" s="1"/>
  <c r="AH63" i="7"/>
  <c r="AD41" i="8"/>
  <c r="AH64" i="7" s="1"/>
  <c r="AE72" i="12"/>
  <c r="AE291" i="7"/>
  <c r="AE238" i="7"/>
  <c r="AE257" i="7"/>
  <c r="AE259" i="7"/>
  <c r="AG136" i="7" l="1"/>
  <c r="AE251" i="7"/>
  <c r="AF247" i="7"/>
  <c r="AF292" i="7"/>
  <c r="AF73" i="12"/>
  <c r="AG73" i="12"/>
  <c r="AG292" i="7"/>
  <c r="AG247" i="7"/>
  <c r="AE260" i="7"/>
  <c r="AH178" i="7"/>
  <c r="AH185" i="7" s="1"/>
  <c r="AH216" i="7"/>
  <c r="AH223" i="7" s="1"/>
  <c r="AH94" i="7"/>
  <c r="AH126" i="7"/>
  <c r="AH133" i="7" s="1"/>
  <c r="AI176" i="7"/>
  <c r="AI183" i="7" s="1"/>
  <c r="AI214" i="7"/>
  <c r="AI221" i="7" s="1"/>
  <c r="AI92" i="7"/>
  <c r="AI124" i="7"/>
  <c r="AI131" i="7" s="1"/>
  <c r="AE249" i="7"/>
  <c r="AE258" i="7"/>
  <c r="AG97" i="7"/>
  <c r="AF72" i="12"/>
  <c r="AF238" i="7"/>
  <c r="AF291" i="7"/>
  <c r="AG186" i="7"/>
  <c r="AG227" i="7" s="1"/>
  <c r="AE239" i="7"/>
  <c r="AE240" i="7" s="1"/>
  <c r="AE241" i="7"/>
  <c r="AE242" i="7" s="1"/>
  <c r="AH215" i="7"/>
  <c r="AH222" i="7" s="1"/>
  <c r="AH224" i="7" s="1"/>
  <c r="AH177" i="7"/>
  <c r="AH184" i="7" s="1"/>
  <c r="AH93" i="7"/>
  <c r="AH125" i="7"/>
  <c r="AH132" i="7" s="1"/>
  <c r="AI63" i="7"/>
  <c r="AE41" i="8"/>
  <c r="AI64" i="7" s="1"/>
  <c r="AG224" i="7"/>
  <c r="AF256" i="7"/>
  <c r="AF293" i="7"/>
  <c r="AF74" i="12"/>
  <c r="AH97" i="7" l="1"/>
  <c r="AH238" i="7" s="1"/>
  <c r="AH72" i="12"/>
  <c r="AI178" i="7"/>
  <c r="AI185" i="7" s="1"/>
  <c r="AI216" i="7"/>
  <c r="AI223" i="7" s="1"/>
  <c r="AI94" i="7"/>
  <c r="AI126" i="7"/>
  <c r="AI133" i="7" s="1"/>
  <c r="AF257" i="7"/>
  <c r="AF258" i="7" s="1"/>
  <c r="AF259" i="7"/>
  <c r="AF260" i="7" s="1"/>
  <c r="AG256" i="7"/>
  <c r="AG74" i="12"/>
  <c r="AG293" i="7"/>
  <c r="AI177" i="7"/>
  <c r="AI184" i="7" s="1"/>
  <c r="AI215" i="7"/>
  <c r="AI222" i="7" s="1"/>
  <c r="AI125" i="7"/>
  <c r="AI132" i="7" s="1"/>
  <c r="AI93" i="7"/>
  <c r="AG72" i="12"/>
  <c r="AG238" i="7"/>
  <c r="AG291" i="7"/>
  <c r="AH136" i="7"/>
  <c r="AF241" i="7"/>
  <c r="AF242" i="7" s="1"/>
  <c r="AF239" i="7"/>
  <c r="AF240" i="7" s="1"/>
  <c r="AG250" i="7"/>
  <c r="AG248" i="7"/>
  <c r="AH186" i="7"/>
  <c r="AH227" i="7" s="1"/>
  <c r="AF248" i="7"/>
  <c r="AF249" i="7" s="1"/>
  <c r="AF250" i="7"/>
  <c r="AF251" i="7" s="1"/>
  <c r="AG251" i="7" l="1"/>
  <c r="AH291" i="7"/>
  <c r="AG249" i="7"/>
  <c r="AG257" i="7"/>
  <c r="AG258" i="7" s="1"/>
  <c r="AG259" i="7"/>
  <c r="AG260" i="7" s="1"/>
  <c r="AH247" i="7"/>
  <c r="AH73" i="12"/>
  <c r="AH292" i="7"/>
  <c r="AI186" i="7"/>
  <c r="AH241" i="7"/>
  <c r="AH239" i="7"/>
  <c r="AI97" i="7"/>
  <c r="AH256" i="7"/>
  <c r="AH74" i="12"/>
  <c r="AH293" i="7"/>
  <c r="AG239" i="7"/>
  <c r="AG240" i="7" s="1"/>
  <c r="AG241" i="7"/>
  <c r="AG242" i="7" s="1"/>
  <c r="AI224" i="7"/>
  <c r="AI136" i="7"/>
  <c r="AH242" i="7" l="1"/>
  <c r="AI227" i="7"/>
  <c r="AH240" i="7"/>
  <c r="AI291" i="7"/>
  <c r="AI72" i="12"/>
  <c r="AI238" i="7"/>
  <c r="H97" i="7"/>
  <c r="AH257" i="7"/>
  <c r="AH258" i="7" s="1"/>
  <c r="AH259" i="7"/>
  <c r="AH260" i="7" s="1"/>
  <c r="AI256" i="7"/>
  <c r="AI293" i="7"/>
  <c r="AI74" i="12"/>
  <c r="H227" i="7"/>
  <c r="AI292" i="7"/>
  <c r="AI73" i="12"/>
  <c r="AI247" i="7"/>
  <c r="H136" i="7"/>
  <c r="AH250" i="7"/>
  <c r="AH251" i="7" s="1"/>
  <c r="AH248" i="7"/>
  <c r="AH249" i="7" s="1"/>
  <c r="H73" i="12" l="1"/>
  <c r="F78" i="12" s="1"/>
  <c r="U55" i="11" s="1"/>
  <c r="H292" i="7"/>
  <c r="H74" i="12"/>
  <c r="F79" i="12" s="1"/>
  <c r="U56" i="11" s="1"/>
  <c r="H293" i="7"/>
  <c r="H256" i="7"/>
  <c r="AI248" i="7"/>
  <c r="AI249" i="7" s="1"/>
  <c r="AI250" i="7"/>
  <c r="AI251" i="7" s="1"/>
  <c r="H72" i="12"/>
  <c r="F77" i="12" s="1"/>
  <c r="U54" i="11" s="1"/>
  <c r="H291" i="7"/>
  <c r="AI257" i="7"/>
  <c r="AI258" i="7" s="1"/>
  <c r="AI259" i="7"/>
  <c r="AI241" i="7"/>
  <c r="AI239" i="7"/>
  <c r="AI240" i="7" s="1"/>
  <c r="F261" i="7" l="1"/>
  <c r="F262" i="7"/>
  <c r="F253" i="7"/>
  <c r="F252" i="7"/>
  <c r="F244" i="7"/>
  <c r="F243" i="7"/>
  <c r="AI242" i="7"/>
  <c r="AI260" i="7"/>
  <c r="F48" i="11" l="1"/>
  <c r="G266" i="7"/>
  <c r="F49" i="11"/>
  <c r="G267" i="7"/>
  <c r="H267" i="7"/>
  <c r="F60" i="11"/>
  <c r="F266" i="7"/>
  <c r="F38" i="11"/>
  <c r="F267" i="7"/>
  <c r="F39" i="11"/>
  <c r="H266" i="7"/>
  <c r="F59" i="11"/>
</calcChain>
</file>

<file path=xl/sharedStrings.xml><?xml version="1.0" encoding="utf-8"?>
<sst xmlns="http://schemas.openxmlformats.org/spreadsheetml/2006/main" count="625" uniqueCount="339">
  <si>
    <t>Starting year</t>
  </si>
  <si>
    <t>Lifespan</t>
  </si>
  <si>
    <t>years</t>
  </si>
  <si>
    <t>Name of the village</t>
  </si>
  <si>
    <t>Country</t>
  </si>
  <si>
    <t>Time</t>
  </si>
  <si>
    <t>Size of the plant</t>
  </si>
  <si>
    <t>Size of the battery</t>
  </si>
  <si>
    <t>Details regarding the size of the plant</t>
  </si>
  <si>
    <t>Land</t>
  </si>
  <si>
    <t xml:space="preserve">Wiring </t>
  </si>
  <si>
    <t>Meters</t>
  </si>
  <si>
    <t>Batteries</t>
  </si>
  <si>
    <t>Inverters</t>
  </si>
  <si>
    <t>Cost of a control setup</t>
  </si>
  <si>
    <t>Capital expenditure</t>
  </si>
  <si>
    <t>Operational Expenditure</t>
  </si>
  <si>
    <t>Yearly total operational expenditure</t>
  </si>
  <si>
    <t>Replacement Ependiture</t>
  </si>
  <si>
    <t xml:space="preserve">Tier </t>
  </si>
  <si>
    <t>World Bank Tier</t>
  </si>
  <si>
    <t>Location details</t>
  </si>
  <si>
    <t>Demography</t>
  </si>
  <si>
    <t>Population of the village</t>
  </si>
  <si>
    <t>Population to be connected by the microgrid</t>
  </si>
  <si>
    <t>Units</t>
  </si>
  <si>
    <t>Litres of fuel used per day</t>
  </si>
  <si>
    <t>Number of homes in the village</t>
  </si>
  <si>
    <t>Notes</t>
  </si>
  <si>
    <t>Source</t>
  </si>
  <si>
    <t>kWp</t>
  </si>
  <si>
    <t>Currency</t>
  </si>
  <si>
    <t>£</t>
  </si>
  <si>
    <t>Transportation and last mile costs</t>
  </si>
  <si>
    <t>Ancillary costs (such as for bulbs, fans, etc.)</t>
  </si>
  <si>
    <t>Construction and surveys + other upfront project development costs</t>
  </si>
  <si>
    <t>Discount rates</t>
  </si>
  <si>
    <t>Discount rate of the project</t>
  </si>
  <si>
    <t>%</t>
  </si>
  <si>
    <t>Subsidy</t>
  </si>
  <si>
    <t>Subsidy% on capital  expenditure</t>
  </si>
  <si>
    <t>Subsidy% on operational  expenditure</t>
  </si>
  <si>
    <t>Yes</t>
  </si>
  <si>
    <t xml:space="preserve">Option 2 - Per kWh consumed for residential </t>
  </si>
  <si>
    <t>Option 2 - Per kWh consumed for commercial</t>
  </si>
  <si>
    <t>kWh/month/dwelling</t>
  </si>
  <si>
    <t xml:space="preserve">Revenue - monthly </t>
  </si>
  <si>
    <t>Option selection</t>
  </si>
  <si>
    <t>Rates</t>
  </si>
  <si>
    <t>Option 1 - Fixed cost per commercial dwelling rate</t>
  </si>
  <si>
    <t>Option 3 - Fixed cost for residentials</t>
  </si>
  <si>
    <t>Option 3 - Fixed cost for commercial</t>
  </si>
  <si>
    <t>Option 3 - Per kWh consumed for residentials</t>
  </si>
  <si>
    <t>Option 3 - Per kWh consumed for commercial</t>
  </si>
  <si>
    <t>Year of first price rise</t>
  </si>
  <si>
    <t>Year of second price rise</t>
  </si>
  <si>
    <t>Year of third price rise</t>
  </si>
  <si>
    <t>Last year in this model</t>
  </si>
  <si>
    <t>Year of fourth price rise</t>
  </si>
  <si>
    <t>Year of fifth price rise</t>
  </si>
  <si>
    <t>kWh/dwelling/month</t>
  </si>
  <si>
    <t>Growth</t>
  </si>
  <si>
    <t>Possible growth in commercial load every year</t>
  </si>
  <si>
    <t>Possible growth in residential load every year</t>
  </si>
  <si>
    <t xml:space="preserve">Consumption - monthly </t>
  </si>
  <si>
    <t>Carbon factor</t>
  </si>
  <si>
    <t>Current grid carbon factor</t>
  </si>
  <si>
    <t>https://www.gov.uk/government/collections/government-conversion-factors-for-company-reporting</t>
  </si>
  <si>
    <t>Diesel</t>
  </si>
  <si>
    <r>
      <t>kg CO</t>
    </r>
    <r>
      <rPr>
        <vertAlign val="subscript"/>
        <sz val="11"/>
        <color theme="1"/>
        <rFont val="Calibri"/>
        <family val="2"/>
        <scheme val="minor"/>
      </rPr>
      <t>2</t>
    </r>
    <r>
      <rPr>
        <sz val="11"/>
        <color theme="1"/>
        <rFont val="Calibri"/>
        <family val="2"/>
        <scheme val="minor"/>
      </rPr>
      <t>e/litre</t>
    </r>
  </si>
  <si>
    <t>Wood logs</t>
  </si>
  <si>
    <r>
      <t>kg CO</t>
    </r>
    <r>
      <rPr>
        <vertAlign val="subscript"/>
        <sz val="11"/>
        <color theme="1"/>
        <rFont val="Calibri"/>
        <family val="2"/>
        <scheme val="minor"/>
      </rPr>
      <t>2</t>
    </r>
    <r>
      <rPr>
        <sz val="11"/>
        <color theme="1"/>
        <rFont val="Calibri"/>
        <family val="2"/>
        <scheme val="minor"/>
      </rPr>
      <t>e/tonne</t>
    </r>
  </si>
  <si>
    <t>Kerosene</t>
  </si>
  <si>
    <t xml:space="preserve">Possible changes in revneue pricing </t>
  </si>
  <si>
    <t>Timeline</t>
  </si>
  <si>
    <t>Years</t>
  </si>
  <si>
    <t>Revenue time flags</t>
  </si>
  <si>
    <t>Aditional plant growth CAPEX</t>
  </si>
  <si>
    <t>PV panels, tubrines,etc.</t>
  </si>
  <si>
    <t>Number of  growth phases for the microgrid plant</t>
  </si>
  <si>
    <t>Year of first growth phase</t>
  </si>
  <si>
    <t>Year of second growth phase</t>
  </si>
  <si>
    <t>First phase</t>
  </si>
  <si>
    <t>First phase - Projected cost of batteries when first replaced</t>
  </si>
  <si>
    <t>Second phase</t>
  </si>
  <si>
    <t>Second phase - Projected cost of batteries when replaced the second time</t>
  </si>
  <si>
    <t>Please enter zero if there are no growth phases</t>
  </si>
  <si>
    <t>Plant growth flags</t>
  </si>
  <si>
    <t>Years with first price rise</t>
  </si>
  <si>
    <t>Years with second price rise</t>
  </si>
  <si>
    <t>Years with third price rise</t>
  </si>
  <si>
    <t>Years with fourth price rise</t>
  </si>
  <si>
    <t>Years with fifth price rise</t>
  </si>
  <si>
    <t>Plant growth years</t>
  </si>
  <si>
    <t>First phase total expenditure - excluding batteries</t>
  </si>
  <si>
    <t>Second phase total expenditure - excluding batteries</t>
  </si>
  <si>
    <t>Number of years</t>
  </si>
  <si>
    <t>CAPEX</t>
  </si>
  <si>
    <t>Total CAPEX</t>
  </si>
  <si>
    <t>OPEX</t>
  </si>
  <si>
    <t>Expenditure</t>
  </si>
  <si>
    <t>Capex</t>
  </si>
  <si>
    <t>Total</t>
  </si>
  <si>
    <t>REPEX</t>
  </si>
  <si>
    <t>Full time period flag</t>
  </si>
  <si>
    <t xml:space="preserve"> OPEX </t>
  </si>
  <si>
    <t>END OF SHEET</t>
  </si>
  <si>
    <t>REPEX from growth phase 1</t>
  </si>
  <si>
    <t>REPEX from growth phase 2</t>
  </si>
  <si>
    <t>Total REPEX</t>
  </si>
  <si>
    <t>TOTAL EXPENDITURE</t>
  </si>
  <si>
    <t>Number of commercial</t>
  </si>
  <si>
    <t>kWh/month</t>
  </si>
  <si>
    <t>Number of homes to be connected to the microgrid</t>
  </si>
  <si>
    <t>kWh/year</t>
  </si>
  <si>
    <t>Number of months in a year</t>
  </si>
  <si>
    <t>months</t>
  </si>
  <si>
    <t>Monthly energy consumption residential</t>
  </si>
  <si>
    <t>Monthly energy consumption commercial</t>
  </si>
  <si>
    <t>Yearly energy consumption residential</t>
  </si>
  <si>
    <t>Yearly energy consumption commercial</t>
  </si>
  <si>
    <t xml:space="preserve">Revenue </t>
  </si>
  <si>
    <t xml:space="preserve">Option 1 </t>
  </si>
  <si>
    <t xml:space="preserve">Subsidy% on replacement expenditure </t>
  </si>
  <si>
    <t>Year with no price rise</t>
  </si>
  <si>
    <t>End time</t>
  </si>
  <si>
    <t>Yearly revenue with no price rise</t>
  </si>
  <si>
    <t>Yearly revenue with first price rise</t>
  </si>
  <si>
    <t>Yearly revenue with second price rise</t>
  </si>
  <si>
    <t>Yearly revenue with third price rise</t>
  </si>
  <si>
    <t>Yearly revenue with fourth price rise</t>
  </si>
  <si>
    <t>Yearly revenue with fifth price rise</t>
  </si>
  <si>
    <t>Option 2</t>
  </si>
  <si>
    <t>Option 1 - Fixed cost per residential and commercial dwellings</t>
  </si>
  <si>
    <t>Option 2 - Per kWh consumed per residential and commercial dwellings</t>
  </si>
  <si>
    <t>Option 3 - Fixed cost +  per kWh consumed for residential and commercial dwellings</t>
  </si>
  <si>
    <t>Option 1 flag</t>
  </si>
  <si>
    <t>Option 2 flag</t>
  </si>
  <si>
    <t>Option 3 flag</t>
  </si>
  <si>
    <t>Total Option 1 revenue</t>
  </si>
  <si>
    <t>Per kWh revenue with no price rise - residential</t>
  </si>
  <si>
    <t>Per kWh revenue with no price rise - commercial</t>
  </si>
  <si>
    <t>Per kWh revenue with first price rise - residential</t>
  </si>
  <si>
    <t>Per kWh revenue with second price rise - residential</t>
  </si>
  <si>
    <t>Per kWh revenue with third price rise - residential</t>
  </si>
  <si>
    <t>Per kWh revenue with fourth price rise - residential</t>
  </si>
  <si>
    <t>Per kWh revenue with fifth price rise - residential</t>
  </si>
  <si>
    <t>Per kWh revenue with first price rise  - commercial</t>
  </si>
  <si>
    <t>Per kWh revenue with second price rise  - commercial</t>
  </si>
  <si>
    <t>Per kWh revenue with third price rise  - commercial</t>
  </si>
  <si>
    <t>Per kWh revenue with fourth price rise - commercial</t>
  </si>
  <si>
    <t>Per kWh revenue with fifth price rise - commercial</t>
  </si>
  <si>
    <t>£/kWh</t>
  </si>
  <si>
    <t>Total Option 2 revenue</t>
  </si>
  <si>
    <t>Yearly fixed cost revenue with no price rise - residential</t>
  </si>
  <si>
    <t>Yearly fixed cost revenue with no price rise - commercial</t>
  </si>
  <si>
    <t>Yearly fixed cost revenue with first price rise - residential</t>
  </si>
  <si>
    <t>Yearly fixed cost revenue with first price rise  - commercial</t>
  </si>
  <si>
    <t>Yearly fixed cost revenue with second price rise - residential</t>
  </si>
  <si>
    <t>Yearly fixed cost revenue with second price rise  - commercial</t>
  </si>
  <si>
    <t>Yearly fixed cost revenue with third price rise - residential</t>
  </si>
  <si>
    <t>Yearly fixed cost revenue with third price rise  - commercial</t>
  </si>
  <si>
    <t>Yearly fixed cost revenue with fourth price rise - residential</t>
  </si>
  <si>
    <t>Yearly fixed cost revenue with fourth price rise - commercial</t>
  </si>
  <si>
    <t>Yearly fixed cost revenue with fifth price rise - residential</t>
  </si>
  <si>
    <t>Yearly fixed cost revenue with fifth price rise - commercial</t>
  </si>
  <si>
    <t>Yearly fixed cost revenue with no price rise - All</t>
  </si>
  <si>
    <t>£/year</t>
  </si>
  <si>
    <t>Yearly fixed cost revenue with first price rise - All</t>
  </si>
  <si>
    <t>Yearly fixed cost revenue with second price rise - All</t>
  </si>
  <si>
    <t>Yearly fixed cost revenue with third price rise - All</t>
  </si>
  <si>
    <t>Yearly fixed cost revenue with fourth price rise - All</t>
  </si>
  <si>
    <t>Yearly fixed cost revenue with fifth price rise - All</t>
  </si>
  <si>
    <t>Option 3</t>
  </si>
  <si>
    <t>First yearly consumption covered by fixed costs - residential</t>
  </si>
  <si>
    <t>First year consumption covered by fixed costs - commercial</t>
  </si>
  <si>
    <t>Average consumption</t>
  </si>
  <si>
    <t xml:space="preserve">Option3 - kWh benchmark for commercial under fixed costs </t>
  </si>
  <si>
    <t>Option3 - kWh benchmark for residentials under fixed costs</t>
  </si>
  <si>
    <t>Percentage rise in revenue pricing (%rise)</t>
  </si>
  <si>
    <t>Yearly consumption post consumption under fixed costs - residential</t>
  </si>
  <si>
    <t>Yearly consumption post consumption under fixed costs - commercial</t>
  </si>
  <si>
    <t>Total Option 3 revenue</t>
  </si>
  <si>
    <t>Cashflow</t>
  </si>
  <si>
    <t>Year</t>
  </si>
  <si>
    <t>Discount rate</t>
  </si>
  <si>
    <t>Net Cashflow</t>
  </si>
  <si>
    <t>Pre-tax Net Present Value (25 year) - option 1</t>
  </si>
  <si>
    <t xml:space="preserve">Pre-tax Internal Rate of Return (25 year) - option 1 </t>
  </si>
  <si>
    <t>Pre-tax Net Present Value (25 year) - option 2</t>
  </si>
  <si>
    <t>Pre-tax Internal Rate of Return (25 year) - option 2</t>
  </si>
  <si>
    <t>Darewadi</t>
  </si>
  <si>
    <t>Maharashtra</t>
  </si>
  <si>
    <t>India</t>
  </si>
  <si>
    <t>Percentage of homes connected to the microgrid</t>
  </si>
  <si>
    <t>Percentage of commercial properties connected to the microgrid</t>
  </si>
  <si>
    <t>OPTION 1 - FIXED RATE</t>
  </si>
  <si>
    <t>Pre-tax Net Present Value (25 year) - option 3</t>
  </si>
  <si>
    <t>Pre-tax Internal Rate of Return (25 year) - option 3</t>
  </si>
  <si>
    <t>OPTION 3 - Per kWh and Fixed Cost Charges</t>
  </si>
  <si>
    <t>Cost of fuel</t>
  </si>
  <si>
    <t xml:space="preserve">Fuel used to meet power demands - commercial </t>
  </si>
  <si>
    <t>Fuel used to meet power demands - residential</t>
  </si>
  <si>
    <r>
      <t>kg CO</t>
    </r>
    <r>
      <rPr>
        <vertAlign val="subscript"/>
        <sz val="11"/>
        <color theme="1"/>
        <rFont val="Calibri"/>
        <family val="2"/>
        <scheme val="minor"/>
      </rPr>
      <t>2</t>
    </r>
    <r>
      <rPr>
        <sz val="11"/>
        <color theme="1"/>
        <rFont val="Calibri"/>
        <family val="2"/>
        <scheme val="minor"/>
      </rPr>
      <t>e/kWh</t>
    </r>
  </si>
  <si>
    <t xml:space="preserve">https://www.volker-quaschning.de/datserv/CO2-spez/index_e.php </t>
  </si>
  <si>
    <t>kWh produced per litre of kerosene burned</t>
  </si>
  <si>
    <t>kWh/litre</t>
  </si>
  <si>
    <t>http://www.monikie.org.uk/fuel-calorific-values.htm</t>
  </si>
  <si>
    <t>Is the fuel used kerosene  - commercial</t>
  </si>
  <si>
    <t>Is the fuel used diesel  - commercial</t>
  </si>
  <si>
    <t>Is the fuel used kerosene  - residential</t>
  </si>
  <si>
    <t>Is the fuel used diesel  - residential</t>
  </si>
  <si>
    <t>Carbon emission when using kerosene  - commercial</t>
  </si>
  <si>
    <t>Is the fuel used wood - residential</t>
  </si>
  <si>
    <t>Is the fuel used wood - commercial</t>
  </si>
  <si>
    <t>Carbon emission when using wood - commercial</t>
  </si>
  <si>
    <t>Carbon emission when using diesel  - commercial</t>
  </si>
  <si>
    <t>kg CO2e/year</t>
  </si>
  <si>
    <t>litres/month/property or kg/month/property</t>
  </si>
  <si>
    <t>litres/month/home or kg/month/home</t>
  </si>
  <si>
    <t>Carbon emission when using kerosene  - residential</t>
  </si>
  <si>
    <t>Carbon emission when using wood - residential</t>
  </si>
  <si>
    <t>Carbon emission when using diesel  - residential</t>
  </si>
  <si>
    <t>Total yearly commercial emission saved</t>
  </si>
  <si>
    <t>Total yearly residential emission saved</t>
  </si>
  <si>
    <t>Total lifespan commercial emission saved</t>
  </si>
  <si>
    <t>Total lifespan residential emission saved</t>
  </si>
  <si>
    <t>kg CO2e during lifespan</t>
  </si>
  <si>
    <t>currently constant over the years but if yearly carbon factors are known please enter on the right</t>
  </si>
  <si>
    <t>2018 figures</t>
  </si>
  <si>
    <t>https://www.epa.gov/greenvehicles/greenhouse-gas-emissions-typical-passenger-vehicle</t>
  </si>
  <si>
    <t xml:space="preserve">Emission from an average car </t>
  </si>
  <si>
    <r>
      <t>kg CO</t>
    </r>
    <r>
      <rPr>
        <vertAlign val="subscript"/>
        <sz val="11"/>
        <color theme="1"/>
        <rFont val="Calibri"/>
        <family val="2"/>
        <scheme val="minor"/>
      </rPr>
      <t>2</t>
    </r>
    <r>
      <rPr>
        <sz val="11"/>
        <color theme="1"/>
        <rFont val="Calibri"/>
        <family val="2"/>
        <scheme val="minor"/>
      </rPr>
      <t>e</t>
    </r>
  </si>
  <si>
    <t>By moving to a renewable grid</t>
  </si>
  <si>
    <t>Carbon Savings compared to current system</t>
  </si>
  <si>
    <t>Carbon Factor</t>
  </si>
  <si>
    <t>Total Energy consumed</t>
  </si>
  <si>
    <t>Carbon emissions per year if the same network is connected to grid</t>
  </si>
  <si>
    <t xml:space="preserve">Carbon Savings compared to the grid - case for renewable </t>
  </si>
  <si>
    <t>Compared to the current grid</t>
  </si>
  <si>
    <t>Comparing the costs of the current system to the renewable setup for the community</t>
  </si>
  <si>
    <t>Average estimated monthly consumption per residential dwelling</t>
  </si>
  <si>
    <t>Average estimated monthly consumption per commercial dwelling</t>
  </si>
  <si>
    <t>Energy expense per residential property</t>
  </si>
  <si>
    <t>Energy expense per commercial property</t>
  </si>
  <si>
    <t>number of cars worth of emission (as of 2018) can be saved in its lifetime</t>
  </si>
  <si>
    <t xml:space="preserve">Comparison of microgrid to current fuel </t>
  </si>
  <si>
    <t>Cost of fuel per year</t>
  </si>
  <si>
    <t xml:space="preserve">Commercial fuel cost over the microgrid lifetime </t>
  </si>
  <si>
    <t xml:space="preserve">Residential fuel cost over the microgrid lifetime </t>
  </si>
  <si>
    <t>Option 1 - Fixed cost per residential rate</t>
  </si>
  <si>
    <t>Made by</t>
  </si>
  <si>
    <t>Jaspreet Singh</t>
  </si>
  <si>
    <t>Yearly revenue with no price rise - residential</t>
  </si>
  <si>
    <t>Yearly revenue with no price rise - commercial</t>
  </si>
  <si>
    <t>Total savings made by swtiching to the microgrid - Option 1</t>
  </si>
  <si>
    <t>Total savings made by swtiching to the microgrid - Option 2</t>
  </si>
  <si>
    <t>Total savings made by swtiching to the microgrid - Option 3</t>
  </si>
  <si>
    <t>CONTENT</t>
  </si>
  <si>
    <t>\</t>
  </si>
  <si>
    <t>Critical information. Please ensure the right information is entered.</t>
  </si>
  <si>
    <t xml:space="preserve">Critical information. Please ensure the right information is entered. It is advised to have growth phases  linked to battery life (limited to 2). </t>
  </si>
  <si>
    <t xml:space="preserve">Critical information. Please ensure the right information is entered. </t>
  </si>
  <si>
    <t>Critical information. Please ensure the right information is entered. Please enter zero if there are no growth phases.</t>
  </si>
  <si>
    <t>Critical information. Please ensure the right information is entered. Please enter zero if there is no subsidy.</t>
  </si>
  <si>
    <t>Critical information. Please ensure the right information is entered. Please enter zero if there is no subsidy</t>
  </si>
  <si>
    <t xml:space="preserve">Critical information. Please ensure the right information is entered. Possible addition of changes in fixed costs over the plants life time </t>
  </si>
  <si>
    <t xml:space="preserve">Critical information. Please ensure the right information is entered. Possible addition of changes in fixed costs over the plants life time. </t>
  </si>
  <si>
    <t>Critical information. Please ensure the right information is entered. Enter the number 0 if there will be no price rise in the future</t>
  </si>
  <si>
    <t>Critical information. Please ensure the right information is entered. Rise from first price rise</t>
  </si>
  <si>
    <t>Critical information. Please ensure the right information is entered. Rise from second price rise</t>
  </si>
  <si>
    <t>Critical information. Please ensure the right information is entered. Rise from third price rise</t>
  </si>
  <si>
    <t>Critical information. Please ensure the right information is entered. Rise from fourth price rise</t>
  </si>
  <si>
    <t>number of people</t>
  </si>
  <si>
    <t>number of homes</t>
  </si>
  <si>
    <t>Series Total</t>
  </si>
  <si>
    <t>Number of homes</t>
  </si>
  <si>
    <t>Has a fixed cost been considered for the community</t>
  </si>
  <si>
    <t>OPTION 2 - per kWh charges</t>
  </si>
  <si>
    <t>Has a per kWh price been considered for the community</t>
  </si>
  <si>
    <t>Has a per kWh price and fixed cost been considered for the community</t>
  </si>
  <si>
    <t>Constant (not editable)</t>
  </si>
  <si>
    <t>Region/state/county name</t>
  </si>
  <si>
    <t>Primary commercial fuel used</t>
  </si>
  <si>
    <t>Carbon analysis</t>
  </si>
  <si>
    <t xml:space="preserve">Commercial </t>
  </si>
  <si>
    <t>Residential</t>
  </si>
  <si>
    <r>
      <t>Total lifetime emissions saved by move to microgrid (kgCO</t>
    </r>
    <r>
      <rPr>
        <b/>
        <vertAlign val="subscript"/>
        <sz val="9.35"/>
        <color theme="1"/>
        <rFont val="Calibri"/>
        <family val="2"/>
      </rPr>
      <t>2</t>
    </r>
    <r>
      <rPr>
        <b/>
        <sz val="11"/>
        <color theme="1"/>
        <rFont val="Calibri"/>
        <family val="2"/>
        <scheme val="minor"/>
      </rPr>
      <t>)</t>
    </r>
  </si>
  <si>
    <t>Option 1 - Fixed rate</t>
  </si>
  <si>
    <t>Option 2 - per kWh charges</t>
  </si>
  <si>
    <t>Option 3 - per kWh charges and fixed cost</t>
  </si>
  <si>
    <t>Economic benefit (lifetime) for the local community when moving from current fuel to a microgrid</t>
  </si>
  <si>
    <t>Number of homes not connected</t>
  </si>
  <si>
    <t>Number of commercial properties not connected</t>
  </si>
  <si>
    <t>Number of commercial properties to be connected by the microgrid</t>
  </si>
  <si>
    <t>Option 1</t>
  </si>
  <si>
    <t xml:space="preserve">Pre-tax Net Present Value (25 year) </t>
  </si>
  <si>
    <t xml:space="preserve">Pre-tax Internal Rate of Return (25 year) </t>
  </si>
  <si>
    <t>OTHER PAGES</t>
  </si>
  <si>
    <t xml:space="preserve"> </t>
  </si>
  <si>
    <t>Current Fuel</t>
  </si>
  <si>
    <t>Plant expenditure and Info page</t>
  </si>
  <si>
    <t>Genreal page</t>
  </si>
  <si>
    <t>This page requests the user to enter background information regarding the location, number of connections proposed to the microgrid, model timeline and the discount rate of the microgrid. The model is designed to run for 25 years.
The model only considers renewable power plants.</t>
  </si>
  <si>
    <t>Revenue and eletricity consump page</t>
  </si>
  <si>
    <t xml:space="preserve">The entries requested within this page intends to make the user aware of various costs associated with upfront capital, operation and replacement.
The replacement costs section requests the user to consider the possible growth of the plant. This is to capture potential increase in size of the plant to meet local aspirations and plant owner's ambitions. The works associated with plant growth are assumed to be taking place as the same year as the replacement year. </t>
  </si>
  <si>
    <t>Critical information. Please ensure the right information is entered. This should include the possibility of increase in number of  homes.</t>
  </si>
  <si>
    <t>Critical information. Please ensure the right information is entered. This should include the possibility of increase in number of commercial properties</t>
  </si>
  <si>
    <t>This page gathers information regarding electricity consumption and revenue.
The consumption section gathers data regarding expected consumption and yearly consumption growth. 
The revenue section is segmented into three options. These options capture three ways by which the customers can be charged. The section also encapsulates the potential price rise that the plant owner may project to occur in the future in 5 phases.</t>
  </si>
  <si>
    <t>CO2 inputs page</t>
  </si>
  <si>
    <t>This page gathers information on the carbon factor of various sources.
The emission from a car is also considered for comparison purposes, i.e. the carbon savings made from the grid are compared to the emissions emitted by a car.</t>
  </si>
  <si>
    <t>Total CAPEX (post subsidy)</t>
  </si>
  <si>
    <t>Total OPEX (post subsidy)</t>
  </si>
  <si>
    <t>O&amp;M Escalator (%)</t>
  </si>
  <si>
    <t>Annual Degradation</t>
  </si>
  <si>
    <t>all the costs/ energy produced</t>
  </si>
  <si>
    <t>Total REPEX and any upgrades (post subsidy)</t>
  </si>
  <si>
    <t>Calculation Energy Consumption</t>
  </si>
  <si>
    <t>Average daily kWh generation per kWp</t>
  </si>
  <si>
    <t>kWh</t>
  </si>
  <si>
    <t>kWh/kWp</t>
  </si>
  <si>
    <t>First phase plant size added</t>
  </si>
  <si>
    <t>Second phase plant size added</t>
  </si>
  <si>
    <t>First phase - Projected size of batteries added to the replacement</t>
  </si>
  <si>
    <t>Second phase - Projected size of batteries added to the replacement</t>
  </si>
  <si>
    <t>Energy produced by the plant added in the first phase</t>
  </si>
  <si>
    <t>flag</t>
  </si>
  <si>
    <t>Energy produced by the plant added in the second phase</t>
  </si>
  <si>
    <t>Total Energy produced</t>
  </si>
  <si>
    <t xml:space="preserve">Energy produced by the initial plant </t>
  </si>
  <si>
    <t>Energy produced by the plant</t>
  </si>
  <si>
    <t>Energy required by the area/region</t>
  </si>
  <si>
    <t>Critical information. Please ensure the right information is entered. Please enter the year of the battery replacement if there are no growth phases. Please enter a year below the end of plant life year.</t>
  </si>
  <si>
    <t>Critical information. Please ensure the right information is entered. Please enter a value that suggests the batteries replacement cost and the upgrade.</t>
  </si>
  <si>
    <t>All costs</t>
  </si>
  <si>
    <t>All energy produced</t>
  </si>
  <si>
    <t>Levelised Cost of Energy (LCOE)</t>
  </si>
  <si>
    <t>LCOE</t>
  </si>
  <si>
    <t>Net Cashflow Discounted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</si>
</sst>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164" formatCode="_-* #,##0.00_-;\-* #,##0.00_-;_-* &quot;-&quot;??_-;_-@_-"/>
    <numFmt numFmtId="165" formatCode="#,##0_);\(#,##0\);&quot;-  &quot;;&quot; &quot;@"/>
    <numFmt numFmtId="166" formatCode="0.0000"/>
    <numFmt numFmtId="167" formatCode="0.0"/>
    <numFmt numFmtId="168" formatCode="#,##0_);\(#,##0\);&quot;-  &quot;;&quot; &quot;@&quot; &quot;"/>
    <numFmt numFmtId="169" formatCode="0.00%_);\-0.00%_);&quot;-  &quot;;&quot; &quot;@&quot; &quot;"/>
    <numFmt numFmtId="170" formatCode="#,##0.0000_);\(#,##0.0000\);&quot;-  &quot;;&quot; &quot;@&quot; &quot;"/>
    <numFmt numFmtId="171" formatCode="dd\ mmm\ yyyy_);\(###0\);&quot;-  &quot;;&quot; &quot;@&quot; &quot;"/>
    <numFmt numFmtId="172" formatCode="dd\ mmm\ yy_);\(###0\);&quot;-  &quot;;&quot; &quot;@&quot; &quot;"/>
    <numFmt numFmtId="173" formatCode="###0_);\(###0\);&quot;-  &quot;;&quot; &quot;@&quot; &quot;"/>
    <numFmt numFmtId="174" formatCode="#,##0.000_);\(#,##0.000\);&quot;-  &quot;;&quot; &quot;@&quot; &quot;"/>
    <numFmt numFmtId="175" formatCode="_-* #,##0_-;\-* #,##0_-;_-* &quot;-&quot;??_-;_-@_-"/>
    <numFmt numFmtId="176" formatCode="#,##0.0000000_);\(#,##0.0000000\);&quot;-  &quot;;&quot; &quot;@&quot; &quot;"/>
  </numFmts>
  <fonts count="31" x14ac:knownFonts="1">
    <font>
      <sz val="11"/>
      <color theme="1"/>
      <name val="Calibri"/>
      <family val="2"/>
      <scheme val="minor"/>
    </font>
    <font>
      <b/>
      <sz val="11"/>
      <color theme="1"/>
      <name val="Calibri"/>
      <family val="2"/>
      <scheme val="minor"/>
    </font>
    <font>
      <sz val="11"/>
      <color theme="1"/>
      <name val="Calibri"/>
      <family val="2"/>
      <scheme val="minor"/>
    </font>
    <font>
      <sz val="11"/>
      <color rgb="FF3F3F76"/>
      <name val="Calibri"/>
      <family val="2"/>
      <scheme val="minor"/>
    </font>
    <font>
      <b/>
      <sz val="11"/>
      <color rgb="FFFA7D00"/>
      <name val="Calibri"/>
      <family val="2"/>
      <scheme val="minor"/>
    </font>
    <font>
      <b/>
      <sz val="20"/>
      <color theme="1"/>
      <name val="Calibri"/>
      <family val="2"/>
      <scheme val="minor"/>
    </font>
    <font>
      <sz val="11"/>
      <color rgb="FF0070C0"/>
      <name val="Calibri"/>
      <family val="2"/>
      <scheme val="minor"/>
    </font>
    <font>
      <u/>
      <sz val="11"/>
      <color theme="10"/>
      <name val="Calibri"/>
      <family val="2"/>
      <scheme val="minor"/>
    </font>
    <font>
      <vertAlign val="subscript"/>
      <sz val="11"/>
      <color theme="1"/>
      <name val="Calibri"/>
      <family val="2"/>
      <scheme val="minor"/>
    </font>
    <font>
      <sz val="10"/>
      <name val="Arial"/>
      <family val="2"/>
    </font>
    <font>
      <b/>
      <sz val="10"/>
      <name val="Arial"/>
      <family val="2"/>
    </font>
    <font>
      <b/>
      <sz val="11"/>
      <color theme="0"/>
      <name val="Calibri"/>
      <family val="2"/>
      <scheme val="minor"/>
    </font>
    <font>
      <b/>
      <sz val="20"/>
      <name val="Arial"/>
      <family val="2"/>
    </font>
    <font>
      <sz val="11"/>
      <color theme="0"/>
      <name val="Calibri"/>
      <family val="2"/>
      <scheme val="minor"/>
    </font>
    <font>
      <b/>
      <sz val="18"/>
      <name val="Arial"/>
      <family val="2"/>
    </font>
    <font>
      <u/>
      <sz val="10"/>
      <name val="Arial"/>
      <family val="2"/>
    </font>
    <font>
      <b/>
      <sz val="12"/>
      <color theme="1"/>
      <name val="Calibri"/>
      <family val="2"/>
      <scheme val="minor"/>
    </font>
    <font>
      <b/>
      <u/>
      <sz val="14"/>
      <color theme="1"/>
      <name val="Calibri"/>
      <family val="2"/>
      <scheme val="minor"/>
    </font>
    <font>
      <sz val="10"/>
      <color theme="0"/>
      <name val="Arial"/>
      <family val="2"/>
    </font>
    <font>
      <b/>
      <sz val="20"/>
      <color theme="0"/>
      <name val="Calibri"/>
      <family val="2"/>
      <scheme val="minor"/>
    </font>
    <font>
      <b/>
      <sz val="24"/>
      <color theme="0"/>
      <name val="Calibri"/>
      <family val="2"/>
      <scheme val="minor"/>
    </font>
    <font>
      <sz val="12"/>
      <color theme="1"/>
      <name val="Calibri"/>
      <family val="2"/>
      <scheme val="minor"/>
    </font>
    <font>
      <i/>
      <sz val="11"/>
      <color theme="1"/>
      <name val="Calibri"/>
      <family val="2"/>
      <scheme val="minor"/>
    </font>
    <font>
      <u/>
      <sz val="11"/>
      <color theme="1"/>
      <name val="Calibri"/>
      <family val="2"/>
      <scheme val="minor"/>
    </font>
    <font>
      <b/>
      <sz val="16"/>
      <color theme="0"/>
      <name val="Calibri"/>
      <family val="2"/>
      <scheme val="minor"/>
    </font>
    <font>
      <b/>
      <vertAlign val="subscript"/>
      <sz val="9.35"/>
      <color theme="1"/>
      <name val="Calibri"/>
      <family val="2"/>
    </font>
    <font>
      <b/>
      <u/>
      <sz val="11"/>
      <color theme="1"/>
      <name val="Calibri"/>
      <family val="2"/>
      <scheme val="minor"/>
    </font>
    <font>
      <sz val="8"/>
      <name val="Calibri"/>
      <family val="2"/>
      <scheme val="minor"/>
    </font>
    <font>
      <b/>
      <sz val="11"/>
      <color rgb="FF000000"/>
      <name val="Calibri"/>
      <family val="2"/>
    </font>
    <font>
      <sz val="11"/>
      <color rgb="FF000000"/>
      <name val="Calibri"/>
      <family val="2"/>
    </font>
    <font>
      <b/>
      <sz val="16"/>
      <color rgb="FF000000"/>
      <name val="Calibri"/>
      <family val="2"/>
    </font>
  </fonts>
  <fills count="11">
    <fill>
      <patternFill patternType="none"/>
    </fill>
    <fill>
      <patternFill patternType="gray125"/>
    </fill>
    <fill>
      <patternFill patternType="solid">
        <fgColor rgb="FFFFCC99"/>
      </patternFill>
    </fill>
    <fill>
      <patternFill patternType="solid">
        <fgColor rgb="FFF2F2F2"/>
      </patternFill>
    </fill>
    <fill>
      <patternFill patternType="solid">
        <fgColor rgb="FFFFFFCC"/>
      </patternFill>
    </fill>
    <fill>
      <patternFill patternType="solid">
        <fgColor theme="2"/>
        <bgColor indexed="64"/>
      </patternFill>
    </fill>
    <fill>
      <patternFill patternType="solid">
        <fgColor theme="1"/>
        <bgColor indexed="64"/>
      </patternFill>
    </fill>
    <fill>
      <patternFill patternType="solid">
        <fgColor theme="3"/>
        <bgColor indexed="64"/>
      </patternFill>
    </fill>
    <fill>
      <patternFill patternType="solid">
        <fgColor theme="9" tint="0.39997558519241921"/>
        <bgColor indexed="64"/>
      </patternFill>
    </fill>
    <fill>
      <patternFill patternType="solid">
        <fgColor theme="0"/>
        <bgColor indexed="64"/>
      </patternFill>
    </fill>
    <fill>
      <patternFill patternType="solid">
        <fgColor theme="4" tint="0.39997558519241921"/>
        <bgColor indexed="64"/>
      </patternFill>
    </fill>
  </fills>
  <borders count="23">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style="thin">
        <color theme="0"/>
      </left>
      <right style="thin">
        <color theme="0"/>
      </right>
      <top style="thin">
        <color theme="0"/>
      </top>
      <bottom style="thin">
        <color theme="0"/>
      </bottom>
      <diagonal/>
    </border>
    <border>
      <left style="thin">
        <color auto="1"/>
      </left>
      <right style="thin">
        <color auto="1"/>
      </right>
      <top style="thin">
        <color auto="1"/>
      </top>
      <bottom style="thin">
        <color auto="1"/>
      </bottom>
      <diagonal/>
    </border>
    <border>
      <left style="thin">
        <color theme="0"/>
      </left>
      <right style="thin">
        <color theme="0"/>
      </right>
      <top/>
      <bottom style="thin">
        <color theme="0"/>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style="medium">
        <color theme="3"/>
      </left>
      <right style="medium">
        <color theme="3"/>
      </right>
      <top style="medium">
        <color theme="3"/>
      </top>
      <bottom/>
      <diagonal/>
    </border>
    <border>
      <left style="medium">
        <color theme="3"/>
      </left>
      <right style="medium">
        <color theme="3"/>
      </right>
      <top/>
      <bottom/>
      <diagonal/>
    </border>
    <border>
      <left style="thin">
        <color theme="0"/>
      </left>
      <right style="thin">
        <color theme="0"/>
      </right>
      <top style="thin">
        <color theme="0"/>
      </top>
      <bottom style="double">
        <color theme="4"/>
      </bottom>
      <diagonal/>
    </border>
    <border>
      <left style="thin">
        <color theme="3"/>
      </left>
      <right style="thin">
        <color theme="3"/>
      </right>
      <top style="thin">
        <color theme="3"/>
      </top>
      <bottom/>
      <diagonal/>
    </border>
    <border>
      <left style="thin">
        <color theme="3"/>
      </left>
      <right style="thin">
        <color theme="3"/>
      </right>
      <top/>
      <bottom/>
      <diagonal/>
    </border>
    <border>
      <left style="thin">
        <color theme="3"/>
      </left>
      <right style="thin">
        <color theme="3"/>
      </right>
      <top style="thin">
        <color theme="3"/>
      </top>
      <bottom style="thin">
        <color theme="3"/>
      </bottom>
      <diagonal/>
    </border>
    <border>
      <left style="thin">
        <color theme="0"/>
      </left>
      <right style="thin">
        <color theme="0"/>
      </right>
      <top style="thin">
        <color theme="0"/>
      </top>
      <bottom/>
      <diagonal/>
    </border>
    <border>
      <left style="thin">
        <color theme="0"/>
      </left>
      <right/>
      <top style="thin">
        <color theme="0"/>
      </top>
      <bottom/>
      <diagonal/>
    </border>
    <border>
      <left/>
      <right style="thin">
        <color theme="0"/>
      </right>
      <top style="thin">
        <color theme="0"/>
      </top>
      <bottom/>
      <diagonal/>
    </border>
    <border>
      <left style="thin">
        <color theme="0"/>
      </left>
      <right/>
      <top/>
      <bottom style="thin">
        <color theme="0"/>
      </bottom>
      <diagonal/>
    </border>
    <border>
      <left/>
      <right style="thin">
        <color theme="0"/>
      </right>
      <top/>
      <bottom style="thin">
        <color theme="0"/>
      </bottom>
      <diagonal/>
    </border>
    <border>
      <left style="medium">
        <color theme="3"/>
      </left>
      <right style="medium">
        <color theme="3"/>
      </right>
      <top style="medium">
        <color theme="3"/>
      </top>
      <bottom style="medium">
        <color theme="3"/>
      </bottom>
      <diagonal/>
    </border>
    <border>
      <left style="medium">
        <color theme="3"/>
      </left>
      <right/>
      <top style="medium">
        <color theme="3"/>
      </top>
      <bottom style="medium">
        <color theme="3"/>
      </bottom>
      <diagonal/>
    </border>
    <border>
      <left/>
      <right style="medium">
        <color theme="3"/>
      </right>
      <top style="medium">
        <color theme="3"/>
      </top>
      <bottom style="medium">
        <color theme="3"/>
      </bottom>
      <diagonal/>
    </border>
    <border>
      <left style="thin">
        <color theme="0"/>
      </left>
      <right style="thin">
        <color theme="0"/>
      </right>
      <top/>
      <bottom/>
      <diagonal/>
    </border>
  </borders>
  <cellStyleXfs count="14">
    <xf numFmtId="168" fontId="0" fillId="0" borderId="0" applyFont="0" applyFill="0" applyBorder="0" applyProtection="0">
      <alignment vertical="top"/>
    </xf>
    <xf numFmtId="0" fontId="3" fillId="2" borderId="1" applyNumberFormat="0" applyAlignment="0" applyProtection="0"/>
    <xf numFmtId="0" fontId="4" fillId="3" borderId="1" applyNumberFormat="0" applyAlignment="0" applyProtection="0"/>
    <xf numFmtId="0" fontId="2" fillId="4" borderId="2" applyNumberFormat="0" applyFont="0" applyAlignment="0" applyProtection="0"/>
    <xf numFmtId="0" fontId="7" fillId="0" borderId="0" applyNumberFormat="0" applyFill="0" applyBorder="0" applyAlignment="0" applyProtection="0"/>
    <xf numFmtId="165" fontId="9" fillId="0" borderId="0" applyFont="0" applyFill="0" applyBorder="0" applyProtection="0">
      <alignment vertical="top"/>
    </xf>
    <xf numFmtId="169" fontId="2" fillId="0" borderId="0" applyFont="0" applyFill="0" applyBorder="0" applyProtection="0">
      <alignment vertical="top"/>
    </xf>
    <xf numFmtId="164" fontId="2" fillId="0" borderId="0" applyFont="0" applyFill="0" applyBorder="0" applyAlignment="0" applyProtection="0"/>
    <xf numFmtId="165" fontId="9" fillId="0" borderId="0" applyFont="0" applyFill="0" applyBorder="0" applyProtection="0">
      <alignment vertical="top"/>
    </xf>
    <xf numFmtId="0" fontId="9" fillId="0" borderId="0"/>
    <xf numFmtId="170" fontId="2" fillId="0" borderId="0" applyFont="0" applyFill="0" applyBorder="0" applyProtection="0">
      <alignment vertical="top"/>
    </xf>
    <xf numFmtId="171" fontId="2" fillId="0" borderId="0" applyFont="0" applyFill="0" applyBorder="0" applyProtection="0">
      <alignment vertical="top"/>
    </xf>
    <xf numFmtId="172" fontId="2" fillId="0" borderId="0" applyFont="0" applyFill="0" applyBorder="0" applyProtection="0">
      <alignment vertical="top"/>
    </xf>
    <xf numFmtId="173" fontId="2" fillId="0" borderId="0" applyFont="0" applyFill="0" applyBorder="0" applyProtection="0">
      <alignment vertical="top"/>
    </xf>
  </cellStyleXfs>
  <cellXfs count="168">
    <xf numFmtId="168" fontId="0" fillId="0" borderId="0" xfId="0">
      <alignment vertical="top"/>
    </xf>
    <xf numFmtId="168" fontId="1" fillId="0" borderId="0" xfId="0" applyFont="1">
      <alignment vertical="top"/>
    </xf>
    <xf numFmtId="0" fontId="3" fillId="2" borderId="1" xfId="1"/>
    <xf numFmtId="0" fontId="0" fillId="4" borderId="2" xfId="3" applyFont="1"/>
    <xf numFmtId="0" fontId="4" fillId="3" borderId="1" xfId="2"/>
    <xf numFmtId="168" fontId="1" fillId="0" borderId="0" xfId="0" applyFont="1" applyProtection="1">
      <alignment vertical="top"/>
      <protection locked="0"/>
    </xf>
    <xf numFmtId="168" fontId="5" fillId="0" borderId="0" xfId="0" applyFont="1" applyProtection="1">
      <alignment vertical="top"/>
      <protection locked="0"/>
    </xf>
    <xf numFmtId="168" fontId="0" fillId="0" borderId="0" xfId="0" applyProtection="1">
      <alignment vertical="top"/>
      <protection locked="0"/>
    </xf>
    <xf numFmtId="0" fontId="3" fillId="2" borderId="1" xfId="1" applyProtection="1">
      <protection locked="0"/>
    </xf>
    <xf numFmtId="0" fontId="0" fillId="4" borderId="2" xfId="3" applyFont="1" applyProtection="1">
      <protection locked="0"/>
    </xf>
    <xf numFmtId="168" fontId="6" fillId="0" borderId="0" xfId="0" applyFont="1">
      <alignment vertical="top"/>
    </xf>
    <xf numFmtId="168" fontId="0" fillId="0" borderId="0" xfId="0" applyAlignment="1">
      <alignment wrapText="1"/>
    </xf>
    <xf numFmtId="168" fontId="0" fillId="0" borderId="0" xfId="0" applyFont="1">
      <alignment vertical="top"/>
    </xf>
    <xf numFmtId="0" fontId="7" fillId="4" borderId="2" xfId="4" applyFill="1" applyBorder="1"/>
    <xf numFmtId="0" fontId="0" fillId="4" borderId="2" xfId="3" applyFont="1" applyAlignment="1">
      <alignment wrapText="1"/>
    </xf>
    <xf numFmtId="165" fontId="10" fillId="0" borderId="0" xfId="5" applyFont="1" applyAlignment="1">
      <alignment horizontal="right" vertical="top"/>
    </xf>
    <xf numFmtId="169" fontId="6" fillId="0" borderId="0" xfId="6" applyFont="1">
      <alignment vertical="top"/>
    </xf>
    <xf numFmtId="169" fontId="3" fillId="2" borderId="1" xfId="6" applyFont="1" applyFill="1" applyBorder="1">
      <alignment vertical="top"/>
    </xf>
    <xf numFmtId="2" fontId="0" fillId="0" borderId="0" xfId="0" applyNumberFormat="1">
      <alignment vertical="top"/>
    </xf>
    <xf numFmtId="1" fontId="0" fillId="0" borderId="0" xfId="0" applyNumberFormat="1">
      <alignment vertical="top"/>
    </xf>
    <xf numFmtId="1" fontId="6" fillId="0" borderId="0" xfId="0" applyNumberFormat="1" applyFont="1">
      <alignment vertical="top"/>
    </xf>
    <xf numFmtId="166" fontId="4" fillId="3" borderId="1" xfId="2" applyNumberFormat="1"/>
    <xf numFmtId="2" fontId="6" fillId="0" borderId="0" xfId="0" applyNumberFormat="1" applyFont="1">
      <alignment vertical="top"/>
    </xf>
    <xf numFmtId="164" fontId="4" fillId="3" borderId="1" xfId="7" applyFont="1" applyFill="1" applyBorder="1"/>
    <xf numFmtId="164" fontId="0" fillId="0" borderId="0" xfId="7" applyFont="1"/>
    <xf numFmtId="169" fontId="0" fillId="0" borderId="0" xfId="6" applyFont="1">
      <alignment vertical="top"/>
    </xf>
    <xf numFmtId="164" fontId="0" fillId="0" borderId="0" xfId="0" applyNumberFormat="1">
      <alignment vertical="top"/>
    </xf>
    <xf numFmtId="164" fontId="4" fillId="3" borderId="1" xfId="2" applyNumberFormat="1"/>
    <xf numFmtId="10" fontId="3" fillId="2" borderId="1" xfId="1" applyNumberFormat="1" applyProtection="1">
      <protection locked="0"/>
    </xf>
    <xf numFmtId="10" fontId="6" fillId="0" borderId="0" xfId="6" applyNumberFormat="1" applyFont="1">
      <alignment vertical="top"/>
    </xf>
    <xf numFmtId="164" fontId="1" fillId="0" borderId="0" xfId="7" applyFont="1"/>
    <xf numFmtId="9" fontId="1" fillId="0" borderId="0" xfId="0" applyNumberFormat="1" applyFont="1">
      <alignment vertical="top"/>
    </xf>
    <xf numFmtId="9" fontId="4" fillId="3" borderId="1" xfId="2" applyNumberFormat="1"/>
    <xf numFmtId="169" fontId="4" fillId="3" borderId="1" xfId="6" applyFont="1" applyFill="1" applyBorder="1">
      <alignment vertical="top"/>
    </xf>
    <xf numFmtId="0" fontId="7" fillId="4" borderId="2" xfId="3" applyFont="1"/>
    <xf numFmtId="168" fontId="0" fillId="0" borderId="0" xfId="0" applyFill="1">
      <alignment vertical="top"/>
    </xf>
    <xf numFmtId="0" fontId="0" fillId="0" borderId="2" xfId="3" applyFont="1" applyFill="1"/>
    <xf numFmtId="0" fontId="7" fillId="0" borderId="2" xfId="3" applyFont="1" applyFill="1"/>
    <xf numFmtId="3" fontId="3" fillId="2" borderId="1" xfId="1" applyNumberFormat="1"/>
    <xf numFmtId="167" fontId="0" fillId="0" borderId="0" xfId="0" applyNumberFormat="1">
      <alignment vertical="top"/>
    </xf>
    <xf numFmtId="168" fontId="0" fillId="5" borderId="0" xfId="0" applyFill="1">
      <alignment vertical="top"/>
    </xf>
    <xf numFmtId="165" fontId="12" fillId="0" borderId="3" xfId="8" applyFont="1" applyFill="1" applyBorder="1" applyAlignment="1">
      <alignment vertical="top"/>
    </xf>
    <xf numFmtId="0" fontId="9" fillId="0" borderId="3" xfId="9" applyBorder="1"/>
    <xf numFmtId="0" fontId="10" fillId="0" borderId="3" xfId="9" applyFont="1" applyBorder="1"/>
    <xf numFmtId="164" fontId="6" fillId="0" borderId="0" xfId="7" applyFont="1"/>
    <xf numFmtId="0" fontId="14" fillId="0" borderId="3" xfId="9" applyFont="1" applyBorder="1"/>
    <xf numFmtId="0" fontId="9" fillId="0" borderId="5" xfId="9" applyBorder="1"/>
    <xf numFmtId="0" fontId="9" fillId="0" borderId="6" xfId="9" applyBorder="1"/>
    <xf numFmtId="0" fontId="9" fillId="0" borderId="7" xfId="9" applyBorder="1"/>
    <xf numFmtId="0" fontId="15" fillId="0" borderId="3" xfId="9" applyFont="1" applyBorder="1"/>
    <xf numFmtId="0" fontId="9" fillId="7" borderId="8" xfId="9" applyFill="1" applyBorder="1"/>
    <xf numFmtId="0" fontId="9" fillId="7" borderId="9" xfId="9" applyFill="1" applyBorder="1"/>
    <xf numFmtId="0" fontId="14" fillId="0" borderId="10" xfId="9" applyFont="1" applyBorder="1"/>
    <xf numFmtId="0" fontId="9" fillId="7" borderId="11" xfId="9" applyFill="1" applyBorder="1"/>
    <xf numFmtId="0" fontId="9" fillId="7" borderId="12" xfId="9" applyFill="1" applyBorder="1"/>
    <xf numFmtId="168" fontId="1" fillId="0" borderId="0" xfId="0" applyFont="1" applyBorder="1" applyAlignment="1">
      <alignment horizontal="center" vertical="center"/>
    </xf>
    <xf numFmtId="164" fontId="1" fillId="0" borderId="0" xfId="7" applyFont="1" applyBorder="1" applyAlignment="1">
      <alignment horizontal="center" vertical="center"/>
    </xf>
    <xf numFmtId="0" fontId="9" fillId="0" borderId="14" xfId="9" applyBorder="1"/>
    <xf numFmtId="0" fontId="9" fillId="0" borderId="15" xfId="9" applyBorder="1"/>
    <xf numFmtId="0" fontId="9" fillId="0" borderId="16" xfId="9" applyBorder="1"/>
    <xf numFmtId="0" fontId="9" fillId="0" borderId="17" xfId="9" applyBorder="1"/>
    <xf numFmtId="0" fontId="9" fillId="0" borderId="18" xfId="9" applyBorder="1"/>
    <xf numFmtId="0" fontId="9" fillId="7" borderId="13" xfId="9" applyFill="1" applyBorder="1"/>
    <xf numFmtId="168" fontId="0" fillId="8" borderId="0" xfId="0" applyFill="1" applyProtection="1">
      <alignment vertical="top"/>
      <protection locked="0"/>
    </xf>
    <xf numFmtId="168" fontId="1" fillId="8" borderId="0" xfId="0" applyFont="1" applyFill="1" applyProtection="1">
      <alignment vertical="top"/>
      <protection locked="0"/>
    </xf>
    <xf numFmtId="168" fontId="1" fillId="5" borderId="0" xfId="0" applyFont="1" applyFill="1" applyProtection="1">
      <alignment vertical="top"/>
    </xf>
    <xf numFmtId="168" fontId="0" fillId="5" borderId="0" xfId="0" applyFill="1" applyProtection="1">
      <alignment vertical="top"/>
      <protection locked="0"/>
    </xf>
    <xf numFmtId="168" fontId="1" fillId="6" borderId="0" xfId="0" applyFont="1" applyFill="1" applyProtection="1">
      <alignment vertical="top"/>
      <protection locked="0"/>
    </xf>
    <xf numFmtId="168" fontId="0" fillId="6" borderId="0" xfId="0" applyFill="1" applyProtection="1">
      <alignment vertical="top"/>
      <protection locked="0"/>
    </xf>
    <xf numFmtId="168" fontId="11" fillId="6" borderId="0" xfId="0" applyFont="1" applyFill="1" applyProtection="1">
      <alignment vertical="top"/>
      <protection locked="0"/>
    </xf>
    <xf numFmtId="168" fontId="0" fillId="0" borderId="0" xfId="0" applyBorder="1" applyProtection="1">
      <alignment vertical="top"/>
      <protection locked="0"/>
    </xf>
    <xf numFmtId="168" fontId="0" fillId="8" borderId="0" xfId="0" applyFill="1" applyBorder="1" applyProtection="1">
      <alignment vertical="top"/>
      <protection locked="0"/>
    </xf>
    <xf numFmtId="168" fontId="0" fillId="6" borderId="0" xfId="0" applyFill="1" applyBorder="1" applyProtection="1">
      <alignment vertical="top"/>
      <protection locked="0"/>
    </xf>
    <xf numFmtId="168" fontId="0" fillId="8" borderId="0" xfId="0" applyFill="1">
      <alignment vertical="top"/>
    </xf>
    <xf numFmtId="0" fontId="3" fillId="2" borderId="1" xfId="1" applyAlignment="1" applyProtection="1">
      <alignment horizontal="right"/>
      <protection locked="0"/>
    </xf>
    <xf numFmtId="168" fontId="1" fillId="8" borderId="0" xfId="0" applyFont="1" applyFill="1">
      <alignment vertical="top"/>
    </xf>
    <xf numFmtId="168" fontId="0" fillId="6" borderId="0" xfId="0" applyFill="1">
      <alignment vertical="top"/>
    </xf>
    <xf numFmtId="168" fontId="11" fillId="6" borderId="0" xfId="0" applyFont="1" applyFill="1">
      <alignment vertical="top"/>
    </xf>
    <xf numFmtId="168" fontId="13" fillId="6" borderId="0" xfId="0" applyFont="1" applyFill="1">
      <alignment vertical="top"/>
    </xf>
    <xf numFmtId="0" fontId="9" fillId="7" borderId="19" xfId="9" applyFill="1" applyBorder="1"/>
    <xf numFmtId="0" fontId="18" fillId="7" borderId="13" xfId="9" applyFont="1" applyFill="1" applyBorder="1"/>
    <xf numFmtId="0" fontId="9" fillId="7" borderId="20" xfId="9" applyFill="1" applyBorder="1"/>
    <xf numFmtId="0" fontId="9" fillId="7" borderId="21" xfId="9" applyFill="1" applyBorder="1"/>
    <xf numFmtId="168" fontId="1" fillId="0" borderId="4" xfId="0" applyFont="1" applyBorder="1" applyAlignment="1">
      <alignment vertical="center"/>
    </xf>
    <xf numFmtId="168" fontId="23" fillId="0" borderId="4" xfId="0" applyFont="1" applyBorder="1" applyAlignment="1">
      <alignment horizontal="center" vertical="center"/>
    </xf>
    <xf numFmtId="168" fontId="1" fillId="0" borderId="4" xfId="0" applyFont="1" applyBorder="1" applyAlignment="1">
      <alignment horizontal="center" vertical="center" wrapText="1"/>
    </xf>
    <xf numFmtId="175" fontId="1" fillId="0" borderId="0" xfId="7" applyNumberFormat="1" applyFont="1" applyBorder="1" applyAlignment="1">
      <alignment horizontal="center" vertical="center"/>
    </xf>
    <xf numFmtId="0" fontId="1" fillId="0" borderId="0" xfId="0" applyNumberFormat="1" applyFont="1">
      <alignment vertical="top"/>
    </xf>
    <xf numFmtId="168" fontId="4" fillId="3" borderId="1" xfId="2" applyNumberFormat="1" applyAlignment="1">
      <alignment vertical="top"/>
    </xf>
    <xf numFmtId="168" fontId="22" fillId="0" borderId="0" xfId="0" applyFont="1" applyBorder="1" applyAlignment="1">
      <alignment vertical="center" wrapText="1"/>
    </xf>
    <xf numFmtId="168" fontId="0" fillId="0" borderId="4" xfId="0" applyBorder="1" applyAlignment="1">
      <alignment vertical="center"/>
    </xf>
    <xf numFmtId="174" fontId="0" fillId="0" borderId="4" xfId="0" applyNumberFormat="1" applyBorder="1" applyAlignment="1">
      <alignment vertical="center"/>
    </xf>
    <xf numFmtId="168" fontId="5" fillId="0" borderId="0" xfId="0" applyFont="1" applyBorder="1" applyAlignment="1" applyProtection="1">
      <alignment vertical="center"/>
      <protection locked="0"/>
    </xf>
    <xf numFmtId="168" fontId="0" fillId="0" borderId="0" xfId="0" applyBorder="1" applyAlignment="1">
      <alignment vertical="center"/>
    </xf>
    <xf numFmtId="168" fontId="20" fillId="0" borderId="0" xfId="0" applyFont="1" applyBorder="1" applyAlignment="1" applyProtection="1">
      <alignment vertical="center"/>
      <protection locked="0"/>
    </xf>
    <xf numFmtId="168" fontId="20" fillId="7" borderId="0" xfId="0" applyFont="1" applyFill="1" applyBorder="1" applyAlignment="1">
      <alignment vertical="center"/>
    </xf>
    <xf numFmtId="168" fontId="19" fillId="7" borderId="0" xfId="0" applyFont="1" applyFill="1" applyBorder="1" applyAlignment="1" applyProtection="1">
      <alignment vertical="center"/>
      <protection locked="0"/>
    </xf>
    <xf numFmtId="168" fontId="20" fillId="0" borderId="0" xfId="0" applyFont="1" applyBorder="1" applyAlignment="1">
      <alignment vertical="center"/>
    </xf>
    <xf numFmtId="168" fontId="0" fillId="7" borderId="0" xfId="0" applyFill="1" applyBorder="1" applyAlignment="1">
      <alignment vertical="center"/>
    </xf>
    <xf numFmtId="168" fontId="21" fillId="0" borderId="0" xfId="0" applyFont="1" applyBorder="1" applyAlignment="1">
      <alignment vertical="center"/>
    </xf>
    <xf numFmtId="168" fontId="16" fillId="10" borderId="4" xfId="0" applyFont="1" applyFill="1" applyBorder="1" applyAlignment="1">
      <alignment horizontal="center" vertical="center"/>
    </xf>
    <xf numFmtId="168" fontId="1" fillId="9" borderId="0" xfId="0" applyFont="1" applyFill="1" applyBorder="1" applyAlignment="1">
      <alignment vertical="center"/>
    </xf>
    <xf numFmtId="169" fontId="16" fillId="0" borderId="0" xfId="6" applyFont="1" applyFill="1" applyBorder="1" applyAlignment="1">
      <alignment horizontal="center" vertical="center"/>
    </xf>
    <xf numFmtId="174" fontId="0" fillId="0" borderId="0" xfId="0" applyNumberFormat="1" applyBorder="1" applyAlignment="1">
      <alignment vertical="center"/>
    </xf>
    <xf numFmtId="168" fontId="17" fillId="0" borderId="0" xfId="0" applyFont="1" applyBorder="1" applyAlignment="1">
      <alignment vertical="center"/>
    </xf>
    <xf numFmtId="168" fontId="22" fillId="0" borderId="0" xfId="0" applyFont="1" applyBorder="1" applyAlignment="1">
      <alignment vertical="center"/>
    </xf>
    <xf numFmtId="174" fontId="0" fillId="0" borderId="4" xfId="0" applyNumberFormat="1" applyBorder="1" applyAlignment="1">
      <alignment horizontal="center" vertical="center"/>
    </xf>
    <xf numFmtId="168" fontId="0" fillId="0" borderId="0" xfId="0" applyFont="1" applyBorder="1" applyAlignment="1">
      <alignment vertical="center"/>
    </xf>
    <xf numFmtId="3" fontId="16" fillId="0" borderId="0" xfId="7" applyNumberFormat="1" applyFont="1" applyBorder="1" applyAlignment="1">
      <alignment horizontal="center" vertical="center"/>
    </xf>
    <xf numFmtId="169" fontId="16" fillId="0" borderId="0" xfId="6" applyFont="1" applyBorder="1" applyAlignment="1">
      <alignment horizontal="center" vertical="center"/>
    </xf>
    <xf numFmtId="164" fontId="0" fillId="0" borderId="0" xfId="7" applyFont="1" applyBorder="1" applyAlignment="1">
      <alignment horizontal="center" vertical="center"/>
    </xf>
    <xf numFmtId="168" fontId="16" fillId="0" borderId="0" xfId="0" applyFont="1" applyBorder="1" applyAlignment="1">
      <alignment horizontal="center" vertical="center"/>
    </xf>
    <xf numFmtId="168" fontId="0" fillId="0" borderId="0" xfId="0" applyBorder="1" applyAlignment="1">
      <alignment horizontal="center" vertical="center"/>
    </xf>
    <xf numFmtId="168" fontId="24" fillId="7" borderId="0" xfId="0" applyFont="1" applyFill="1" applyBorder="1" applyAlignment="1">
      <alignment vertical="center"/>
    </xf>
    <xf numFmtId="168" fontId="22" fillId="0" borderId="4" xfId="0" applyFont="1" applyBorder="1" applyAlignment="1">
      <alignment horizontal="center" vertical="center"/>
    </xf>
    <xf numFmtId="168" fontId="0" fillId="0" borderId="0" xfId="0" applyFont="1" applyBorder="1" applyAlignment="1">
      <alignment vertical="center" wrapText="1"/>
    </xf>
    <xf numFmtId="168" fontId="0" fillId="6" borderId="0" xfId="0" applyFill="1" applyBorder="1" applyAlignment="1">
      <alignment vertical="center"/>
    </xf>
    <xf numFmtId="168" fontId="13" fillId="6" borderId="0" xfId="0" applyFont="1" applyFill="1" applyBorder="1" applyAlignment="1">
      <alignment vertical="center"/>
    </xf>
    <xf numFmtId="168" fontId="22" fillId="0" borderId="0" xfId="0" applyFont="1" applyFill="1" applyBorder="1" applyAlignment="1">
      <alignment vertical="center"/>
    </xf>
    <xf numFmtId="164" fontId="2" fillId="0" borderId="0" xfId="7" applyFont="1"/>
    <xf numFmtId="169" fontId="2" fillId="0" borderId="0" xfId="6" applyFont="1">
      <alignment vertical="top"/>
    </xf>
    <xf numFmtId="0" fontId="9" fillId="0" borderId="22" xfId="9" applyBorder="1"/>
    <xf numFmtId="0" fontId="15" fillId="0" borderId="3" xfId="9" applyFont="1" applyBorder="1" applyAlignment="1">
      <alignment horizontal="center"/>
    </xf>
    <xf numFmtId="0" fontId="14" fillId="0" borderId="10" xfId="9" applyFont="1" applyBorder="1" applyAlignment="1">
      <alignment horizontal="center" vertical="center"/>
    </xf>
    <xf numFmtId="168" fontId="21" fillId="0" borderId="4" xfId="0" applyFont="1" applyFill="1" applyBorder="1" applyAlignment="1">
      <alignment horizontal="center" vertical="center"/>
    </xf>
    <xf numFmtId="169" fontId="21" fillId="0" borderId="4" xfId="6" applyFont="1" applyFill="1" applyBorder="1" applyAlignment="1">
      <alignment horizontal="center" vertical="center"/>
    </xf>
    <xf numFmtId="169" fontId="2" fillId="10" borderId="4" xfId="6" applyFont="1" applyFill="1" applyBorder="1" applyAlignment="1">
      <alignment horizontal="center" vertical="center"/>
    </xf>
    <xf numFmtId="168" fontId="21" fillId="10" borderId="4" xfId="0" applyFont="1" applyFill="1" applyBorder="1" applyAlignment="1">
      <alignment horizontal="center" vertical="center"/>
    </xf>
    <xf numFmtId="168" fontId="26" fillId="0" borderId="0" xfId="0" applyFont="1">
      <alignment vertical="top"/>
    </xf>
    <xf numFmtId="168" fontId="6" fillId="5" borderId="0" xfId="0" applyFont="1" applyFill="1">
      <alignment vertical="top"/>
    </xf>
    <xf numFmtId="168" fontId="5" fillId="0" borderId="0" xfId="0" applyFont="1" applyAlignment="1" applyProtection="1">
      <alignment vertical="center"/>
      <protection locked="0"/>
    </xf>
    <xf numFmtId="168" fontId="0" fillId="0" borderId="0" xfId="0" applyAlignment="1">
      <alignment vertical="center"/>
    </xf>
    <xf numFmtId="168" fontId="0" fillId="0" borderId="0" xfId="0" applyAlignment="1">
      <alignment horizontal="right" vertical="center"/>
    </xf>
    <xf numFmtId="168" fontId="6" fillId="5" borderId="0" xfId="0" applyFont="1" applyFill="1" applyAlignment="1">
      <alignment vertical="center"/>
    </xf>
    <xf numFmtId="168" fontId="6" fillId="5" borderId="0" xfId="0" applyFont="1" applyFill="1" applyAlignment="1">
      <alignment horizontal="left" vertical="center"/>
    </xf>
    <xf numFmtId="168" fontId="0" fillId="5" borderId="0" xfId="0" applyFill="1" applyAlignment="1">
      <alignment vertical="center"/>
    </xf>
    <xf numFmtId="168" fontId="17" fillId="5" borderId="0" xfId="0" applyFont="1" applyFill="1" applyAlignment="1">
      <alignment vertical="center"/>
    </xf>
    <xf numFmtId="168" fontId="0" fillId="5" borderId="0" xfId="0" applyFill="1" applyAlignment="1">
      <alignment horizontal="right" vertical="center"/>
    </xf>
    <xf numFmtId="168" fontId="0" fillId="8" borderId="0" xfId="0" applyFill="1" applyAlignment="1">
      <alignment vertical="center"/>
    </xf>
    <xf numFmtId="168" fontId="1" fillId="8" borderId="0" xfId="0" applyFont="1" applyFill="1" applyAlignment="1">
      <alignment vertical="center"/>
    </xf>
    <xf numFmtId="168" fontId="0" fillId="8" borderId="0" xfId="0" applyFill="1" applyAlignment="1">
      <alignment horizontal="right" vertical="center"/>
    </xf>
    <xf numFmtId="168" fontId="1" fillId="8" borderId="0" xfId="0" applyFont="1" applyFill="1" applyAlignment="1" applyProtection="1">
      <alignment vertical="center"/>
      <protection locked="0"/>
    </xf>
    <xf numFmtId="168" fontId="0" fillId="8" borderId="0" xfId="0" applyFill="1" applyAlignment="1" applyProtection="1">
      <alignment vertical="center"/>
      <protection locked="0"/>
    </xf>
    <xf numFmtId="168" fontId="1" fillId="0" borderId="0" xfId="0" applyFont="1" applyAlignment="1">
      <alignment vertical="center"/>
    </xf>
    <xf numFmtId="168" fontId="1" fillId="0" borderId="0" xfId="0" applyFont="1" applyAlignment="1" applyProtection="1">
      <alignment vertical="center"/>
      <protection locked="0"/>
    </xf>
    <xf numFmtId="168" fontId="0" fillId="0" borderId="0" xfId="0" applyAlignment="1" applyProtection="1">
      <alignment vertical="center"/>
      <protection locked="0"/>
    </xf>
    <xf numFmtId="0" fontId="3" fillId="2" borderId="1" xfId="1" applyAlignment="1">
      <alignment horizontal="right" vertical="center"/>
    </xf>
    <xf numFmtId="0" fontId="0" fillId="4" borderId="2" xfId="3" applyFont="1" applyAlignment="1" applyProtection="1">
      <alignment vertical="center"/>
      <protection locked="0"/>
    </xf>
    <xf numFmtId="169" fontId="3" fillId="2" borderId="1" xfId="6" applyFont="1" applyFill="1" applyBorder="1" applyAlignment="1">
      <alignment horizontal="right" vertical="center"/>
    </xf>
    <xf numFmtId="0" fontId="0" fillId="4" borderId="2" xfId="3" applyFont="1" applyAlignment="1" applyProtection="1">
      <alignment vertical="center" wrapText="1"/>
      <protection locked="0"/>
    </xf>
    <xf numFmtId="10" fontId="3" fillId="2" borderId="1" xfId="6" applyNumberFormat="1" applyFont="1" applyFill="1" applyBorder="1" applyAlignment="1">
      <alignment horizontal="right" vertical="center"/>
    </xf>
    <xf numFmtId="168" fontId="11" fillId="6" borderId="0" xfId="0" applyFont="1" applyFill="1" applyAlignment="1">
      <alignment vertical="center"/>
    </xf>
    <xf numFmtId="168" fontId="13" fillId="6" borderId="0" xfId="0" applyFont="1" applyFill="1" applyAlignment="1">
      <alignment vertical="center"/>
    </xf>
    <xf numFmtId="168" fontId="13" fillId="6" borderId="0" xfId="0" applyFont="1" applyFill="1" applyAlignment="1">
      <alignment horizontal="right" vertical="center"/>
    </xf>
    <xf numFmtId="0" fontId="0" fillId="0" borderId="0" xfId="0" applyNumberFormat="1" applyAlignment="1">
      <alignment vertical="center"/>
    </xf>
    <xf numFmtId="168" fontId="1" fillId="0" borderId="0" xfId="0" applyFont="1" applyBorder="1" applyAlignment="1">
      <alignment vertical="center"/>
    </xf>
    <xf numFmtId="174" fontId="1" fillId="0" borderId="0" xfId="0" applyNumberFormat="1" applyFont="1" applyBorder="1" applyAlignment="1">
      <alignment vertical="center"/>
    </xf>
    <xf numFmtId="174" fontId="1" fillId="0" borderId="4" xfId="0" applyNumberFormat="1" applyFont="1" applyBorder="1" applyAlignment="1">
      <alignment vertical="center"/>
    </xf>
    <xf numFmtId="168" fontId="0" fillId="0" borderId="4" xfId="0" applyBorder="1" applyAlignment="1">
      <alignment horizontal="center" vertical="center"/>
    </xf>
    <xf numFmtId="168" fontId="0" fillId="10" borderId="4" xfId="0" applyFill="1" applyBorder="1" applyAlignment="1">
      <alignment vertical="center"/>
    </xf>
    <xf numFmtId="168" fontId="1" fillId="10" borderId="4" xfId="0" applyFont="1" applyFill="1" applyBorder="1" applyAlignment="1">
      <alignment horizontal="center" vertical="center"/>
    </xf>
    <xf numFmtId="164" fontId="3" fillId="2" borderId="1" xfId="7" applyFont="1" applyFill="1" applyBorder="1" applyAlignment="1">
      <alignment vertical="top"/>
    </xf>
    <xf numFmtId="168" fontId="1" fillId="0" borderId="0" xfId="0" applyFont="1" applyFill="1">
      <alignment vertical="top"/>
    </xf>
    <xf numFmtId="0" fontId="6" fillId="0" borderId="0" xfId="0" applyNumberFormat="1" applyFont="1">
      <alignment vertical="top"/>
    </xf>
    <xf numFmtId="168" fontId="0" fillId="0" borderId="0" xfId="0" applyFill="1" applyProtection="1">
      <alignment vertical="top"/>
      <protection locked="0"/>
    </xf>
    <xf numFmtId="170" fontId="0" fillId="0" borderId="0" xfId="0" applyNumberFormat="1">
      <alignment vertical="top"/>
    </xf>
    <xf numFmtId="176" fontId="1" fillId="0" borderId="0" xfId="0" applyNumberFormat="1" applyFont="1" applyBorder="1" applyAlignment="1">
      <alignment vertical="center"/>
    </xf>
    <xf numFmtId="49" fontId="0" fillId="0" borderId="0" xfId="0" applyNumberFormat="1" applyAlignment="1">
      <alignment vertical="top" wrapText="1"/>
    </xf>
  </cellXfs>
  <cellStyles count="14">
    <cellStyle name="Calculation" xfId="2" builtinId="22"/>
    <cellStyle name="Comma" xfId="7" builtinId="3"/>
    <cellStyle name="DateLong" xfId="11" xr:uid="{00000000-0005-0000-0000-000002000000}"/>
    <cellStyle name="DateShort" xfId="12" xr:uid="{00000000-0005-0000-0000-000003000000}"/>
    <cellStyle name="Factor" xfId="10" xr:uid="{00000000-0005-0000-0000-000004000000}"/>
    <cellStyle name="Hyperlink" xfId="4" builtinId="8"/>
    <cellStyle name="Input" xfId="1" builtinId="20"/>
    <cellStyle name="Normal" xfId="0" builtinId="0" customBuiltin="1"/>
    <cellStyle name="Normal 2" xfId="5" xr:uid="{00000000-0005-0000-0000-000008000000}"/>
    <cellStyle name="Normal 2 2 2" xfId="9" xr:uid="{00000000-0005-0000-0000-000009000000}"/>
    <cellStyle name="Normal 2 3" xfId="8" xr:uid="{00000000-0005-0000-0000-00000A000000}"/>
    <cellStyle name="Note" xfId="3" builtinId="10"/>
    <cellStyle name="Percent" xfId="6" builtinId="5" customBuiltin="1"/>
    <cellStyle name="Year" xfId="13" xr:uid="{00000000-0005-0000-0000-00000D000000}"/>
  </cellStyles>
  <dxfs count="9">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5" tint="0.39994506668294322"/>
        </patternFill>
      </fill>
    </dxf>
    <dxf>
      <fill>
        <patternFill>
          <bgColor theme="9" tint="0.39994506668294322"/>
        </patternFill>
      </fill>
    </dxf>
    <dxf>
      <fill>
        <patternFill>
          <bgColor theme="5" tint="0.39994506668294322"/>
        </patternFill>
      </fill>
    </dxf>
    <dxf>
      <fill>
        <patternFill>
          <bgColor theme="9" tint="0.39994506668294322"/>
        </patternFill>
      </fill>
    </dxf>
    <dxf>
      <fill>
        <patternFill>
          <bgColor theme="5" tint="0.3999450666829432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en-GB" sz="1200" b="0" i="0" u="none" strike="noStrike" kern="1200" spc="0" baseline="0">
                <a:solidFill>
                  <a:schemeClr val="tx1"/>
                </a:solidFill>
                <a:latin typeface="+mn-lt"/>
                <a:ea typeface="+mn-ea"/>
                <a:cs typeface="+mn-cs"/>
              </a:defRPr>
            </a:pPr>
            <a:r>
              <a:rPr lang="en-US" sz="1400" b="1" i="0" baseline="0">
                <a:effectLst/>
              </a:rPr>
              <a:t>Cashflow for the three options</a:t>
            </a:r>
            <a:endParaRPr lang="en-GB" sz="1400">
              <a:effectLst/>
            </a:endParaRPr>
          </a:p>
        </c:rich>
      </c:tx>
      <c:overlay val="0"/>
      <c:spPr>
        <a:noFill/>
        <a:ln>
          <a:noFill/>
        </a:ln>
        <a:effectLst/>
      </c:spPr>
    </c:title>
    <c:autoTitleDeleted val="0"/>
    <c:plotArea>
      <c:layout/>
      <c:lineChart>
        <c:grouping val="standard"/>
        <c:varyColors val="0"/>
        <c:ser>
          <c:idx val="0"/>
          <c:order val="0"/>
          <c:tx>
            <c:strRef>
              <c:f>Cashflow!$E$242</c:f>
              <c:strCache>
                <c:ptCount val="1"/>
                <c:pt idx="0">
                  <c:v> Cumulative Discounted Cashflow (Option 1) - £ </c:v>
                </c:pt>
              </c:strCache>
            </c:strRef>
          </c:tx>
          <c:marker>
            <c:symbol val="none"/>
          </c:marker>
          <c:cat>
            <c:numRef>
              <c:f>Cashflow!$J$6:$AI$6</c:f>
              <c:numCache>
                <c:formatCode>General</c:formatCode>
                <c:ptCount val="26"/>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numCache>
            </c:numRef>
          </c:cat>
          <c:val>
            <c:numRef>
              <c:f>Cashflow!$J$242:$AI$242</c:f>
              <c:numCache>
                <c:formatCode>_-* #,##0.00_-;\-* #,##0.00_-;_-* "-"??_-;_-@_-</c:formatCode>
                <c:ptCount val="26"/>
                <c:pt idx="0">
                  <c:v>-4760</c:v>
                </c:pt>
                <c:pt idx="1">
                  <c:v>-2650.909090909091</c:v>
                </c:pt>
                <c:pt idx="2">
                  <c:v>-738.51239669421511</c:v>
                </c:pt>
                <c:pt idx="3">
                  <c:v>995.3869271224637</c:v>
                </c:pt>
                <c:pt idx="4">
                  <c:v>2567.3113858342999</c:v>
                </c:pt>
                <c:pt idx="5">
                  <c:v>3992.2626360593831</c:v>
                </c:pt>
                <c:pt idx="6">
                  <c:v>5298.0856842863413</c:v>
                </c:pt>
                <c:pt idx="7">
                  <c:v>6481.6282008959606</c:v>
                </c:pt>
                <c:pt idx="8">
                  <c:v>7554.2337380162189</c:v>
                </c:pt>
                <c:pt idx="9">
                  <c:v>7508.3658772955023</c:v>
                </c:pt>
                <c:pt idx="10">
                  <c:v>8389.0413485009522</c:v>
                </c:pt>
                <c:pt idx="11">
                  <c:v>9186.9115229863437</c:v>
                </c:pt>
                <c:pt idx="12">
                  <c:v>9909.6787661964827</c:v>
                </c:pt>
                <c:pt idx="13">
                  <c:v>10564.334116914075</c:v>
                </c:pt>
                <c:pt idx="14">
                  <c:v>11157.222660423116</c:v>
                </c:pt>
                <c:pt idx="15">
                  <c:v>11694.10291365995</c:v>
                </c:pt>
                <c:pt idx="16">
                  <c:v>12180.200769580229</c:v>
                </c:pt>
                <c:pt idx="17">
                  <c:v>12620.25849803977</c:v>
                </c:pt>
                <c:pt idx="18">
                  <c:v>11968.203922037952</c:v>
                </c:pt>
                <c:pt idx="19">
                  <c:v>12328.692178417698</c:v>
                </c:pt>
                <c:pt idx="20">
                  <c:v>12654.890440166411</c:v>
                </c:pt>
                <c:pt idx="21">
                  <c:v>12950.012600838925</c:v>
                </c:pt>
                <c:pt idx="22">
                  <c:v>13216.974233219542</c:v>
                </c:pt>
                <c:pt idx="23">
                  <c:v>13458.420100668491</c:v>
                </c:pt>
                <c:pt idx="24">
                  <c:v>13676.749142537472</c:v>
                </c:pt>
                <c:pt idx="25">
                  <c:v>13874.137164868893</c:v>
                </c:pt>
              </c:numCache>
            </c:numRef>
          </c:val>
          <c:smooth val="0"/>
          <c:extLst>
            <c:ext xmlns:c16="http://schemas.microsoft.com/office/drawing/2014/chart" uri="{C3380CC4-5D6E-409C-BE32-E72D297353CC}">
              <c16:uniqueId val="{00000003-4064-430E-B131-B8AB563A1048}"/>
            </c:ext>
          </c:extLst>
        </c:ser>
        <c:ser>
          <c:idx val="1"/>
          <c:order val="1"/>
          <c:tx>
            <c:strRef>
              <c:f>Cashflow!$E$251</c:f>
              <c:strCache>
                <c:ptCount val="1"/>
                <c:pt idx="0">
                  <c:v> Cumulative Discounted Cashflow (Option 2) - £ </c:v>
                </c:pt>
              </c:strCache>
            </c:strRef>
          </c:tx>
          <c:spPr>
            <a:ln w="28575" cap="rnd">
              <a:solidFill>
                <a:schemeClr val="accent2"/>
              </a:solidFill>
              <a:round/>
            </a:ln>
            <a:effectLst/>
          </c:spPr>
          <c:marker>
            <c:symbol val="none"/>
          </c:marker>
          <c:cat>
            <c:numRef>
              <c:f>Cashflow!$J$6:$AI$6</c:f>
              <c:numCache>
                <c:formatCode>General</c:formatCode>
                <c:ptCount val="26"/>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numCache>
            </c:numRef>
          </c:cat>
          <c:val>
            <c:numRef>
              <c:f>Cashflow!$J$251:$AI$251</c:f>
              <c:numCache>
                <c:formatCode>_-* #,##0.00_-;\-* #,##0.00_-;_-* "-"??_-;_-@_-</c:formatCode>
                <c:ptCount val="26"/>
                <c:pt idx="0">
                  <c:v>-4760</c:v>
                </c:pt>
                <c:pt idx="1">
                  <c:v>4221.818181818182</c:v>
                </c:pt>
                <c:pt idx="2">
                  <c:v>12465.454545454544</c:v>
                </c:pt>
                <c:pt idx="3">
                  <c:v>20031.516153268218</c:v>
                </c:pt>
                <c:pt idx="4">
                  <c:v>26975.637920907036</c:v>
                </c:pt>
                <c:pt idx="5">
                  <c:v>33348.890281215259</c:v>
                </c:pt>
                <c:pt idx="6">
                  <c:v>39257.954831178868</c:v>
                </c:pt>
                <c:pt idx="7">
                  <c:v>44681.170899808254</c:v>
                </c:pt>
                <c:pt idx="8">
                  <c:v>49658.441153260486</c:v>
                </c:pt>
                <c:pt idx="9">
                  <c:v>53208.559573754668</c:v>
                </c:pt>
                <c:pt idx="10">
                  <c:v>57400.817114605452</c:v>
                </c:pt>
                <c:pt idx="11">
                  <c:v>61307.366989927526</c:v>
                </c:pt>
                <c:pt idx="12">
                  <c:v>64892.57720456917</c:v>
                </c:pt>
                <c:pt idx="13">
                  <c:v>68182.848185030569</c:v>
                </c:pt>
                <c:pt idx="14">
                  <c:v>71202.413386570784</c:v>
                </c:pt>
                <c:pt idx="15">
                  <c:v>73973.517032258605</c:v>
                </c:pt>
                <c:pt idx="16">
                  <c:v>76555.740362696248</c:v>
                </c:pt>
                <c:pt idx="17">
                  <c:v>78925.457932998208</c:v>
                </c:pt>
                <c:pt idx="18">
                  <c:v>80049.759704972472</c:v>
                </c:pt>
                <c:pt idx="19">
                  <c:v>82045.427668058226</c:v>
                </c:pt>
                <c:pt idx="20">
                  <c:v>83876.801483584757</c:v>
                </c:pt>
                <c:pt idx="21">
                  <c:v>85583.328791685271</c:v>
                </c:pt>
                <c:pt idx="22">
                  <c:v>87149.343644241904</c:v>
                </c:pt>
                <c:pt idx="23">
                  <c:v>88586.398991779191</c:v>
                </c:pt>
                <c:pt idx="24">
                  <c:v>89905.098949431267</c:v>
                </c:pt>
                <c:pt idx="25">
                  <c:v>91115.176657636403</c:v>
                </c:pt>
              </c:numCache>
            </c:numRef>
          </c:val>
          <c:smooth val="0"/>
          <c:extLst>
            <c:ext xmlns:c16="http://schemas.microsoft.com/office/drawing/2014/chart" uri="{C3380CC4-5D6E-409C-BE32-E72D297353CC}">
              <c16:uniqueId val="{00000002-4064-430E-B131-B8AB563A1048}"/>
            </c:ext>
          </c:extLst>
        </c:ser>
        <c:ser>
          <c:idx val="2"/>
          <c:order val="2"/>
          <c:tx>
            <c:strRef>
              <c:f>Cashflow!$E$260</c:f>
              <c:strCache>
                <c:ptCount val="1"/>
                <c:pt idx="0">
                  <c:v> Cumulative Discunted Cashflow (Option 3) - £ </c:v>
                </c:pt>
              </c:strCache>
            </c:strRef>
          </c:tx>
          <c:marker>
            <c:symbol val="none"/>
          </c:marker>
          <c:val>
            <c:numRef>
              <c:f>Cashflow!$J$260:$AI$260</c:f>
              <c:numCache>
                <c:formatCode>_-* #,##0.00_-;\-* #,##0.00_-;_-* "-"??_-;_-@_-</c:formatCode>
                <c:ptCount val="26"/>
                <c:pt idx="0">
                  <c:v>-4760</c:v>
                </c:pt>
                <c:pt idx="1">
                  <c:v>12102.545454545452</c:v>
                </c:pt>
                <c:pt idx="2">
                  <c:v>27489.652892561979</c:v>
                </c:pt>
                <c:pt idx="3">
                  <c:v>41530.656649135977</c:v>
                </c:pt>
                <c:pt idx="4">
                  <c:v>54343.531562051758</c:v>
                </c:pt>
                <c:pt idx="5">
                  <c:v>66035.892710756205</c:v>
                </c:pt>
                <c:pt idx="6">
                  <c:v>76813.915891263983</c:v>
                </c:pt>
                <c:pt idx="7">
                  <c:v>86649.730850050546</c:v>
                </c:pt>
                <c:pt idx="8">
                  <c:v>95625.850631839901</c:v>
                </c:pt>
                <c:pt idx="9">
                  <c:v>102799.71403423046</c:v>
                </c:pt>
                <c:pt idx="10">
                  <c:v>110275.65928694274</c:v>
                </c:pt>
                <c:pt idx="11">
                  <c:v>117202.25450581734</c:v>
                </c:pt>
                <c:pt idx="12">
                  <c:v>123523.86785829357</c:v>
                </c:pt>
                <c:pt idx="13">
                  <c:v>129293.42936831215</c:v>
                </c:pt>
                <c:pt idx="14">
                  <c:v>134559.2294389747</c:v>
                </c:pt>
                <c:pt idx="15">
                  <c:v>139365.32635803171</c:v>
                </c:pt>
                <c:pt idx="16">
                  <c:v>143818.73398867581</c:v>
                </c:pt>
                <c:pt idx="17">
                  <c:v>147883.50538836789</c:v>
                </c:pt>
                <c:pt idx="18">
                  <c:v>150543.23515503062</c:v>
                </c:pt>
                <c:pt idx="19">
                  <c:v>153929.66917478759</c:v>
                </c:pt>
                <c:pt idx="20">
                  <c:v>157020.71363218574</c:v>
                </c:pt>
                <c:pt idx="21">
                  <c:v>159872.69824471796</c:v>
                </c:pt>
                <c:pt idx="22">
                  <c:v>162475.92217565465</c:v>
                </c:pt>
                <c:pt idx="23">
                  <c:v>164852.11586602023</c:v>
                </c:pt>
                <c:pt idx="24">
                  <c:v>167021.10814336615</c:v>
                </c:pt>
                <c:pt idx="25">
                  <c:v>169000.99295288243</c:v>
                </c:pt>
              </c:numCache>
            </c:numRef>
          </c:val>
          <c:smooth val="0"/>
          <c:extLst>
            <c:ext xmlns:c16="http://schemas.microsoft.com/office/drawing/2014/chart" uri="{C3380CC4-5D6E-409C-BE32-E72D297353CC}">
              <c16:uniqueId val="{00000000-E39F-4912-A250-3E054185CB8D}"/>
            </c:ext>
          </c:extLst>
        </c:ser>
        <c:dLbls>
          <c:showLegendKey val="0"/>
          <c:showVal val="0"/>
          <c:showCatName val="0"/>
          <c:showSerName val="0"/>
          <c:showPercent val="0"/>
          <c:showBubbleSize val="0"/>
        </c:dLbls>
        <c:smooth val="0"/>
        <c:axId val="-2129399992"/>
        <c:axId val="-2129317576"/>
      </c:lineChart>
      <c:catAx>
        <c:axId val="-212939999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GB" sz="1000" b="0" i="0" u="none" strike="noStrike" kern="1200" baseline="0">
                <a:solidFill>
                  <a:schemeClr val="tx1"/>
                </a:solidFill>
                <a:latin typeface="+mn-lt"/>
                <a:ea typeface="+mn-ea"/>
                <a:cs typeface="+mn-cs"/>
              </a:defRPr>
            </a:pPr>
            <a:endParaRPr lang="en-US"/>
          </a:p>
        </c:txPr>
        <c:crossAx val="-2129317576"/>
        <c:crosses val="autoZero"/>
        <c:auto val="1"/>
        <c:lblAlgn val="ctr"/>
        <c:lblOffset val="100"/>
        <c:tickLblSkip val="2"/>
        <c:tickMarkSkip val="2"/>
        <c:noMultiLvlLbl val="0"/>
      </c:catAx>
      <c:valAx>
        <c:axId val="-2129317576"/>
        <c:scaling>
          <c:orientation val="minMax"/>
        </c:scaling>
        <c:delete val="0"/>
        <c:axPos val="l"/>
        <c:majorGridlines>
          <c:spPr>
            <a:ln w="9525" cap="flat" cmpd="sng" algn="ctr">
              <a:noFill/>
              <a:round/>
            </a:ln>
            <a:effectLst/>
          </c:spPr>
        </c:majorGridlines>
        <c:title>
          <c:tx>
            <c:rich>
              <a:bodyPr/>
              <a:lstStyle/>
              <a:p>
                <a:pPr>
                  <a:defRPr/>
                </a:pPr>
                <a:r>
                  <a:rPr lang="en-GB"/>
                  <a:t>Cumulative discounted  cashflow</a:t>
                </a:r>
              </a:p>
            </c:rich>
          </c:tx>
          <c:overlay val="0"/>
        </c:title>
        <c:numFmt formatCode="_(* #,##0_);_(* \(#,##0\);_(* &quot;-&quot;_);_(@_)" sourceLinked="0"/>
        <c:majorTickMark val="out"/>
        <c:minorTickMark val="none"/>
        <c:tickLblPos val="nextTo"/>
        <c:spPr>
          <a:noFill/>
          <a:ln>
            <a:noFill/>
          </a:ln>
          <a:effectLst/>
        </c:spPr>
        <c:txPr>
          <a:bodyPr rot="-60000000" spcFirstLastPara="1" vertOverflow="ellipsis" vert="horz" wrap="square" anchor="ctr" anchorCtr="1"/>
          <a:lstStyle/>
          <a:p>
            <a:pPr>
              <a:defRPr lang="en-GB" sz="1000" b="0" i="0" u="none" strike="noStrike" kern="1200" baseline="0">
                <a:solidFill>
                  <a:schemeClr val="tx1"/>
                </a:solidFill>
                <a:latin typeface="+mn-lt"/>
                <a:ea typeface="+mn-ea"/>
                <a:cs typeface="+mn-cs"/>
              </a:defRPr>
            </a:pPr>
            <a:endParaRPr lang="en-US"/>
          </a:p>
        </c:txPr>
        <c:crossAx val="-2129399992"/>
        <c:crosses val="autoZero"/>
        <c:crossBetween val="between"/>
      </c:valAx>
    </c:plotArea>
    <c:legend>
      <c:legendPos val="b"/>
      <c:overlay val="0"/>
      <c:spPr>
        <a:noFill/>
        <a:ln>
          <a:noFill/>
        </a:ln>
        <a:effectLst/>
      </c:spPr>
      <c:txPr>
        <a:bodyPr rot="0" spcFirstLastPara="1" vertOverflow="ellipsis" vert="horz" wrap="square" anchor="ctr" anchorCtr="1"/>
        <a:lstStyle/>
        <a:p>
          <a:pPr>
            <a:defRPr lang="en-GB" sz="1000" b="0" i="0" u="none" strike="noStrike" kern="1200" baseline="0">
              <a:solidFill>
                <a:schemeClr val="tx1"/>
              </a:solidFill>
              <a:latin typeface="+mn-lt"/>
              <a:ea typeface="+mn-ea"/>
              <a:cs typeface="+mn-cs"/>
            </a:defRPr>
          </a:pPr>
          <a:endParaRPr lang="en-US"/>
        </a:p>
      </c:txPr>
    </c:legend>
    <c:plotVisOnly val="1"/>
    <c:dispBlanksAs val="gap"/>
    <c:showDLblsOverMax val="0"/>
    <c:extLst/>
  </c:chart>
  <c:spPr>
    <a:solidFill>
      <a:schemeClr val="bg1"/>
    </a:solidFill>
    <a:ln w="9525" cap="flat" cmpd="sng" algn="ctr">
      <a:noFill/>
      <a:round/>
    </a:ln>
    <a:effectLst/>
  </c:spPr>
  <c:txPr>
    <a:bodyPr/>
    <a:lstStyle/>
    <a:p>
      <a:pPr>
        <a:defRPr lang="en-GB" sz="1000" b="0" i="0" u="none" strike="noStrike" kern="1200" baseline="0">
          <a:solidFill>
            <a:schemeClr val="tx1"/>
          </a:solidFill>
          <a:latin typeface="+mn-lt"/>
          <a:ea typeface="+mn-ea"/>
          <a:cs typeface="+mn-cs"/>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6">
                  <a:lumMod val="75000"/>
                </a:schemeClr>
              </a:solidFill>
              <a:ln w="19050">
                <a:solidFill>
                  <a:schemeClr val="lt1"/>
                </a:solidFill>
              </a:ln>
              <a:effectLst/>
            </c:spPr>
            <c:extLst>
              <c:ext xmlns:c16="http://schemas.microsoft.com/office/drawing/2014/chart" uri="{C3380CC4-5D6E-409C-BE32-E72D297353CC}">
                <c16:uniqueId val="{00000001-B4ED-483E-A6EC-DC70C7D0B32E}"/>
              </c:ext>
            </c:extLst>
          </c:dPt>
          <c:dPt>
            <c:idx val="1"/>
            <c:bubble3D val="0"/>
            <c:spPr>
              <a:solidFill>
                <a:schemeClr val="accent3">
                  <a:lumMod val="75000"/>
                </a:schemeClr>
              </a:solidFill>
              <a:ln w="19050">
                <a:solidFill>
                  <a:schemeClr val="lt1"/>
                </a:solidFill>
              </a:ln>
              <a:effectLst/>
            </c:spPr>
            <c:extLst>
              <c:ext xmlns:c16="http://schemas.microsoft.com/office/drawing/2014/chart" uri="{C3380CC4-5D6E-409C-BE32-E72D297353CC}">
                <c16:uniqueId val="{00000003-B4ED-483E-A6EC-DC70C7D0B32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Energy!$E$7:$E$8</c:f>
              <c:strCache>
                <c:ptCount val="2"/>
                <c:pt idx="0">
                  <c:v> Number of homes to be connected to the microgrid </c:v>
                </c:pt>
                <c:pt idx="1">
                  <c:v> Number of homes not connected </c:v>
                </c:pt>
              </c:strCache>
            </c:strRef>
          </c:cat>
          <c:val>
            <c:numRef>
              <c:f>Energy!$F$7:$F$8</c:f>
              <c:numCache>
                <c:formatCode>#,##0_);\(#,##0\);"-  ";" "@" "</c:formatCode>
                <c:ptCount val="2"/>
                <c:pt idx="0">
                  <c:v>30</c:v>
                </c:pt>
                <c:pt idx="1">
                  <c:v>15</c:v>
                </c:pt>
              </c:numCache>
            </c:numRef>
          </c:val>
          <c:extLst>
            <c:ext xmlns:c16="http://schemas.microsoft.com/office/drawing/2014/chart" uri="{C3380CC4-5D6E-409C-BE32-E72D297353CC}">
              <c16:uniqueId val="{00000004-B4ED-483E-A6EC-DC70C7D0B32E}"/>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6">
                  <a:lumMod val="75000"/>
                </a:schemeClr>
              </a:solidFill>
              <a:ln w="19050">
                <a:solidFill>
                  <a:schemeClr val="lt1"/>
                </a:solidFill>
              </a:ln>
              <a:effectLst/>
            </c:spPr>
            <c:extLst>
              <c:ext xmlns:c16="http://schemas.microsoft.com/office/drawing/2014/chart" uri="{C3380CC4-5D6E-409C-BE32-E72D297353CC}">
                <c16:uniqueId val="{00000001-AE22-402E-AC3C-631C8FB35212}"/>
              </c:ext>
            </c:extLst>
          </c:dPt>
          <c:dPt>
            <c:idx val="1"/>
            <c:bubble3D val="0"/>
            <c:spPr>
              <a:solidFill>
                <a:schemeClr val="accent3">
                  <a:lumMod val="75000"/>
                </a:schemeClr>
              </a:solidFill>
              <a:ln w="19050">
                <a:solidFill>
                  <a:schemeClr val="lt1"/>
                </a:solidFill>
              </a:ln>
              <a:effectLst/>
            </c:spPr>
            <c:extLst>
              <c:ext xmlns:c16="http://schemas.microsoft.com/office/drawing/2014/chart" uri="{C3380CC4-5D6E-409C-BE32-E72D297353CC}">
                <c16:uniqueId val="{00000003-AE22-402E-AC3C-631C8FB35212}"/>
              </c:ext>
            </c:extLst>
          </c:dPt>
          <c:dLbls>
            <c:dLbl>
              <c:idx val="0"/>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AE22-402E-AC3C-631C8FB35212}"/>
                </c:ext>
              </c:extLst>
            </c:dLbl>
            <c:spPr>
              <a:noFill/>
              <a:ln>
                <a:noFill/>
              </a:ln>
              <a:effectLst/>
            </c:spPr>
            <c:txPr>
              <a:bodyPr rot="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Energy!$E$11:$E$12</c:f>
              <c:strCache>
                <c:ptCount val="2"/>
                <c:pt idx="0">
                  <c:v> Number of commercial properties to be connected by the microgrid </c:v>
                </c:pt>
                <c:pt idx="1">
                  <c:v> Number of commercial properties not connected </c:v>
                </c:pt>
              </c:strCache>
            </c:strRef>
          </c:cat>
          <c:val>
            <c:numRef>
              <c:f>Energy!$F$11:$F$12</c:f>
              <c:numCache>
                <c:formatCode>#,##0_);\(#,##0\);"-  ";" "@" "</c:formatCode>
                <c:ptCount val="2"/>
                <c:pt idx="0">
                  <c:v>12</c:v>
                </c:pt>
                <c:pt idx="1">
                  <c:v>3</c:v>
                </c:pt>
              </c:numCache>
            </c:numRef>
          </c:val>
          <c:extLst>
            <c:ext xmlns:c16="http://schemas.microsoft.com/office/drawing/2014/chart" uri="{C3380CC4-5D6E-409C-BE32-E72D297353CC}">
              <c16:uniqueId val="{00000004-AE22-402E-AC3C-631C8FB35212}"/>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000"/>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r>
              <a:rPr lang="en-GB" b="1"/>
              <a:t>NPV and IRR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endParaRPr lang="en-US"/>
        </a:p>
      </c:txPr>
    </c:title>
    <c:autoTitleDeleted val="0"/>
    <c:plotArea>
      <c:layout/>
      <c:barChart>
        <c:barDir val="col"/>
        <c:grouping val="clustered"/>
        <c:varyColors val="0"/>
        <c:ser>
          <c:idx val="0"/>
          <c:order val="0"/>
          <c:tx>
            <c:strRef>
              <c:f>Cashflow!$E$266</c:f>
              <c:strCache>
                <c:ptCount val="1"/>
                <c:pt idx="0">
                  <c:v> Pre-tax Net Present Value (25 year)  </c:v>
                </c:pt>
              </c:strCache>
            </c:strRef>
          </c:tx>
          <c:spPr>
            <a:solidFill>
              <a:schemeClr val="accent1"/>
            </a:solidFill>
            <a:ln>
              <a:noFill/>
            </a:ln>
            <a:effectLst/>
          </c:spPr>
          <c:invertIfNegative val="0"/>
          <c:dLbls>
            <c:numFmt formatCode="#,##0" sourceLinked="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Cashflow!$F$265:$H$265</c:f>
              <c:strCache>
                <c:ptCount val="3"/>
                <c:pt idx="0">
                  <c:v> Option 1 </c:v>
                </c:pt>
                <c:pt idx="1">
                  <c:v> Option 2 </c:v>
                </c:pt>
                <c:pt idx="2">
                  <c:v> Option 3 </c:v>
                </c:pt>
              </c:strCache>
            </c:strRef>
          </c:cat>
          <c:val>
            <c:numRef>
              <c:f>Cashflow!$F$266:$H$266</c:f>
              <c:numCache>
                <c:formatCode>_-* #,##0.00_-;\-* #,##0.00_-;_-* "-"??_-;_-@_-</c:formatCode>
                <c:ptCount val="3"/>
                <c:pt idx="0" formatCode="#,##0_);\(#,##0\);&quot;-  &quot;;&quot; &quot;@&quot; &quot;">
                  <c:v>13874.137164868893</c:v>
                </c:pt>
                <c:pt idx="1">
                  <c:v>91115.176657636403</c:v>
                </c:pt>
                <c:pt idx="2" formatCode="#,##0_);\(#,##0\);&quot;-  &quot;;&quot; &quot;@&quot; &quot;">
                  <c:v>169000.99295288243</c:v>
                </c:pt>
              </c:numCache>
            </c:numRef>
          </c:val>
          <c:extLst>
            <c:ext xmlns:c16="http://schemas.microsoft.com/office/drawing/2014/chart" uri="{C3380CC4-5D6E-409C-BE32-E72D297353CC}">
              <c16:uniqueId val="{00000000-2239-494B-974F-3A1E2105173B}"/>
            </c:ext>
          </c:extLst>
        </c:ser>
        <c:dLbls>
          <c:showLegendKey val="0"/>
          <c:showVal val="0"/>
          <c:showCatName val="0"/>
          <c:showSerName val="0"/>
          <c:showPercent val="0"/>
          <c:showBubbleSize val="0"/>
        </c:dLbls>
        <c:gapWidth val="219"/>
        <c:axId val="2119111800"/>
        <c:axId val="2119118056"/>
      </c:barChart>
      <c:lineChart>
        <c:grouping val="standard"/>
        <c:varyColors val="0"/>
        <c:ser>
          <c:idx val="1"/>
          <c:order val="1"/>
          <c:tx>
            <c:strRef>
              <c:f>Cashflow!$E$267</c:f>
              <c:strCache>
                <c:ptCount val="1"/>
                <c:pt idx="0">
                  <c:v> Pre-tax Internal Rate of Return (25 year)  </c:v>
                </c:pt>
              </c:strCache>
            </c:strRef>
          </c:tx>
          <c:spPr>
            <a:ln w="28575" cap="rnd">
              <a:noFill/>
              <a:round/>
            </a:ln>
            <a:effectLst/>
          </c:spPr>
          <c:marker>
            <c:symbol val="circle"/>
            <c:size val="5"/>
            <c:spPr>
              <a:solidFill>
                <a:schemeClr val="accent2"/>
              </a:solidFill>
              <a:ln w="9525">
                <a:solidFill>
                  <a:schemeClr val="accent2"/>
                </a:solidFill>
              </a:ln>
              <a:effectLst/>
            </c:spPr>
          </c:marker>
          <c:dLbls>
            <c:numFmt formatCode="0%" sourceLinked="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Cashflow!$F$265:$H$265</c:f>
              <c:strCache>
                <c:ptCount val="3"/>
                <c:pt idx="0">
                  <c:v> Option 1 </c:v>
                </c:pt>
                <c:pt idx="1">
                  <c:v> Option 2 </c:v>
                </c:pt>
                <c:pt idx="2">
                  <c:v> Option 3 </c:v>
                </c:pt>
              </c:strCache>
            </c:strRef>
          </c:cat>
          <c:val>
            <c:numRef>
              <c:f>Cashflow!$F$267:$H$267</c:f>
              <c:numCache>
                <c:formatCode>0.00%_);\-0.00%_);"-  ";" "@" "</c:formatCode>
                <c:ptCount val="3"/>
                <c:pt idx="0">
                  <c:v>0.34328496030825217</c:v>
                </c:pt>
                <c:pt idx="1">
                  <c:v>1.8047819445589313</c:v>
                </c:pt>
                <c:pt idx="2">
                  <c:v>3.4550694187910516</c:v>
                </c:pt>
              </c:numCache>
            </c:numRef>
          </c:val>
          <c:smooth val="0"/>
          <c:extLst>
            <c:ext xmlns:c16="http://schemas.microsoft.com/office/drawing/2014/chart" uri="{C3380CC4-5D6E-409C-BE32-E72D297353CC}">
              <c16:uniqueId val="{00000001-2239-494B-974F-3A1E2105173B}"/>
            </c:ext>
          </c:extLst>
        </c:ser>
        <c:dLbls>
          <c:showLegendKey val="0"/>
          <c:showVal val="0"/>
          <c:showCatName val="0"/>
          <c:showSerName val="0"/>
          <c:showPercent val="0"/>
          <c:showBubbleSize val="0"/>
        </c:dLbls>
        <c:marker val="1"/>
        <c:smooth val="0"/>
        <c:axId val="2119131336"/>
        <c:axId val="2119124792"/>
      </c:lineChart>
      <c:catAx>
        <c:axId val="2119111800"/>
        <c:scaling>
          <c:orientation val="minMax"/>
        </c:scaling>
        <c:delete val="0"/>
        <c:axPos val="b"/>
        <c:title>
          <c:overlay val="0"/>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2119118056"/>
        <c:crosses val="autoZero"/>
        <c:auto val="1"/>
        <c:lblAlgn val="ctr"/>
        <c:lblOffset val="100"/>
        <c:noMultiLvlLbl val="0"/>
      </c:catAx>
      <c:valAx>
        <c:axId val="2119118056"/>
        <c:scaling>
          <c:orientation val="minMax"/>
        </c:scaling>
        <c:delete val="0"/>
        <c:axPos val="l"/>
        <c:majorGridlines>
          <c:spPr>
            <a:ln w="9525" cap="flat" cmpd="sng" algn="ctr">
              <a:noFill/>
              <a:round/>
            </a:ln>
            <a:effectLst/>
          </c:spPr>
        </c:majorGridlines>
        <c:title>
          <c:tx>
            <c:rich>
              <a:bodyPr rot="-5400000" spcFirstLastPara="1" vertOverflow="ellipsis" vert="horz" wrap="square" anchor="ctr" anchorCtr="1"/>
              <a:lstStyle/>
              <a:p>
                <a:pPr>
                  <a:defRPr sz="1000" b="0" i="0" u="none" strike="noStrike" kern="1200" baseline="0">
                    <a:solidFill>
                      <a:schemeClr val="tx1"/>
                    </a:solidFill>
                    <a:latin typeface="+mn-lt"/>
                    <a:ea typeface="+mn-ea"/>
                    <a:cs typeface="+mn-cs"/>
                  </a:defRPr>
                </a:pPr>
                <a:r>
                  <a:rPr lang="en-GB"/>
                  <a:t>NPV</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en-US"/>
            </a:p>
          </c:txPr>
        </c:title>
        <c:numFmt formatCode="#,##0_);\(#,##0\);&quot;-  &quot;;&quot; &quot;@&quot; &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2119111800"/>
        <c:crosses val="autoZero"/>
        <c:crossBetween val="between"/>
      </c:valAx>
      <c:valAx>
        <c:axId val="2119124792"/>
        <c:scaling>
          <c:orientation val="minMax"/>
        </c:scaling>
        <c:delete val="0"/>
        <c:axPos val="r"/>
        <c:title>
          <c:tx>
            <c:rich>
              <a:bodyPr rot="-5400000" spcFirstLastPara="1" vertOverflow="ellipsis" vert="horz" wrap="square" anchor="ctr" anchorCtr="1"/>
              <a:lstStyle/>
              <a:p>
                <a:pPr>
                  <a:defRPr sz="1000" b="0" i="0" u="none" strike="noStrike" kern="1200" baseline="0">
                    <a:solidFill>
                      <a:schemeClr val="tx1"/>
                    </a:solidFill>
                    <a:latin typeface="+mn-lt"/>
                    <a:ea typeface="+mn-ea"/>
                    <a:cs typeface="+mn-cs"/>
                  </a:defRPr>
                </a:pPr>
                <a:r>
                  <a:rPr lang="en-GB"/>
                  <a:t>IRR%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en-US"/>
            </a:p>
          </c:txPr>
        </c:title>
        <c:numFmt formatCode="0.00%_);\-0.00%_);&quot;-  &quot;;&quot; &quot;@&quot; &quot;"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2119131336"/>
        <c:crosses val="max"/>
        <c:crossBetween val="between"/>
      </c:valAx>
      <c:catAx>
        <c:axId val="2119131336"/>
        <c:scaling>
          <c:orientation val="minMax"/>
        </c:scaling>
        <c:delete val="1"/>
        <c:axPos val="b"/>
        <c:numFmt formatCode="General" sourceLinked="1"/>
        <c:majorTickMark val="out"/>
        <c:minorTickMark val="none"/>
        <c:tickLblPos val="nextTo"/>
        <c:crossAx val="2119124792"/>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solidFill>
            <a:schemeClr val="tx1"/>
          </a:solidFill>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b="1"/>
              <a:t>Energy produced</a:t>
            </a:r>
            <a:r>
              <a:rPr lang="en-IN" b="1" baseline="0"/>
              <a:t> vs Energy demand</a:t>
            </a:r>
            <a:endParaRPr lang="en-IN"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Energy!$E$51</c:f>
              <c:strCache>
                <c:ptCount val="1"/>
                <c:pt idx="0">
                  <c:v> Total Energy consumed </c:v>
                </c:pt>
              </c:strCache>
            </c:strRef>
          </c:tx>
          <c:spPr>
            <a:ln w="28575" cap="rnd">
              <a:solidFill>
                <a:schemeClr val="accent1"/>
              </a:solidFill>
              <a:round/>
            </a:ln>
            <a:effectLst/>
          </c:spPr>
          <c:marker>
            <c:symbol val="none"/>
          </c:marker>
          <c:cat>
            <c:numRef>
              <c:extLst>
                <c:ext xmlns:c15="http://schemas.microsoft.com/office/drawing/2012/chart" uri="{02D57815-91ED-43cb-92C2-25804820EDAC}">
                  <c15:fullRef>
                    <c15:sqref>Energy!$J$41:$AI$41</c15:sqref>
                  </c15:fullRef>
                </c:ext>
              </c:extLst>
              <c:f>Energy!$K$41:$AI$41</c:f>
              <c:numCache>
                <c:formatCode>#,##0_);\(#,##0\);"-  ";" "@" "</c:formatCode>
                <c:ptCount val="2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numCache>
            </c:numRef>
          </c:cat>
          <c:val>
            <c:numRef>
              <c:extLst>
                <c:ext xmlns:c15="http://schemas.microsoft.com/office/drawing/2012/chart" uri="{02D57815-91ED-43cb-92C2-25804820EDAC}">
                  <c15:fullRef>
                    <c15:sqref>Energy!$J$51:$AI$51</c15:sqref>
                  </c15:fullRef>
                </c:ext>
              </c:extLst>
              <c:f>Energy!$K$51:$AI$51</c:f>
              <c:numCache>
                <c:formatCode>0</c:formatCode>
                <c:ptCount val="25"/>
                <c:pt idx="0">
                  <c:v>50400</c:v>
                </c:pt>
                <c:pt idx="1">
                  <c:v>50904</c:v>
                </c:pt>
                <c:pt idx="2">
                  <c:v>51413.04</c:v>
                </c:pt>
                <c:pt idx="3">
                  <c:v>51927.170399999995</c:v>
                </c:pt>
                <c:pt idx="4">
                  <c:v>52446.442104000002</c:v>
                </c:pt>
                <c:pt idx="5">
                  <c:v>52970.906525040002</c:v>
                </c:pt>
                <c:pt idx="6">
                  <c:v>53500.615590290399</c:v>
                </c:pt>
                <c:pt idx="7">
                  <c:v>54035.621746193297</c:v>
                </c:pt>
                <c:pt idx="8">
                  <c:v>54575.977963655234</c:v>
                </c:pt>
                <c:pt idx="9">
                  <c:v>55121.737743291786</c:v>
                </c:pt>
                <c:pt idx="10">
                  <c:v>55672.955120724706</c:v>
                </c:pt>
                <c:pt idx="11">
                  <c:v>56229.684671931958</c:v>
                </c:pt>
                <c:pt idx="12">
                  <c:v>56791.981518651271</c:v>
                </c:pt>
                <c:pt idx="13">
                  <c:v>57359.901333837784</c:v>
                </c:pt>
                <c:pt idx="14">
                  <c:v>57933.500347176159</c:v>
                </c:pt>
                <c:pt idx="15">
                  <c:v>58512.835350647933</c:v>
                </c:pt>
                <c:pt idx="16">
                  <c:v>59097.963704154405</c:v>
                </c:pt>
                <c:pt idx="17">
                  <c:v>59688.943341195947</c:v>
                </c:pt>
                <c:pt idx="18">
                  <c:v>60285.832774607909</c:v>
                </c:pt>
                <c:pt idx="19">
                  <c:v>60888.691102353987</c:v>
                </c:pt>
                <c:pt idx="20">
                  <c:v>61497.578013377526</c:v>
                </c:pt>
                <c:pt idx="21">
                  <c:v>62112.553793511303</c:v>
                </c:pt>
                <c:pt idx="22">
                  <c:v>62733.679331446416</c:v>
                </c:pt>
                <c:pt idx="23">
                  <c:v>63361.016124760878</c:v>
                </c:pt>
                <c:pt idx="24">
                  <c:v>63994.626286008483</c:v>
                </c:pt>
              </c:numCache>
            </c:numRef>
          </c:val>
          <c:smooth val="0"/>
          <c:extLst>
            <c:ext xmlns:c16="http://schemas.microsoft.com/office/drawing/2014/chart" uri="{C3380CC4-5D6E-409C-BE32-E72D297353CC}">
              <c16:uniqueId val="{00000000-3713-4ACB-9F87-82838EBB7B5D}"/>
            </c:ext>
          </c:extLst>
        </c:ser>
        <c:ser>
          <c:idx val="1"/>
          <c:order val="1"/>
          <c:tx>
            <c:strRef>
              <c:f>Energy!$E$62</c:f>
              <c:strCache>
                <c:ptCount val="1"/>
                <c:pt idx="0">
                  <c:v> Total Energy produced </c:v>
                </c:pt>
              </c:strCache>
            </c:strRef>
          </c:tx>
          <c:spPr>
            <a:ln w="28575" cap="rnd">
              <a:solidFill>
                <a:schemeClr val="accent2"/>
              </a:solidFill>
              <a:round/>
            </a:ln>
            <a:effectLst/>
          </c:spPr>
          <c:marker>
            <c:symbol val="none"/>
          </c:marker>
          <c:cat>
            <c:numRef>
              <c:extLst>
                <c:ext xmlns:c15="http://schemas.microsoft.com/office/drawing/2012/chart" uri="{02D57815-91ED-43cb-92C2-25804820EDAC}">
                  <c15:fullRef>
                    <c15:sqref>Energy!$J$41:$AI$41</c15:sqref>
                  </c15:fullRef>
                </c:ext>
              </c:extLst>
              <c:f>Energy!$K$41:$AI$41</c:f>
              <c:numCache>
                <c:formatCode>#,##0_);\(#,##0\);"-  ";" "@" "</c:formatCode>
                <c:ptCount val="2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numCache>
            </c:numRef>
          </c:cat>
          <c:val>
            <c:numRef>
              <c:extLst>
                <c:ext xmlns:c15="http://schemas.microsoft.com/office/drawing/2012/chart" uri="{02D57815-91ED-43cb-92C2-25804820EDAC}">
                  <c15:fullRef>
                    <c15:sqref>Energy!$J$62:$AI$62</c15:sqref>
                  </c15:fullRef>
                </c:ext>
              </c:extLst>
              <c:f>Energy!$K$62:$AI$62</c:f>
              <c:numCache>
                <c:formatCode>#,##0_);\(#,##0\);"-  ";" "@" "</c:formatCode>
                <c:ptCount val="25"/>
                <c:pt idx="0">
                  <c:v>32835</c:v>
                </c:pt>
                <c:pt idx="1">
                  <c:v>32670.825000000001</c:v>
                </c:pt>
                <c:pt idx="2">
                  <c:v>32507.470874999999</c:v>
                </c:pt>
                <c:pt idx="3">
                  <c:v>32344.933520625</c:v>
                </c:pt>
                <c:pt idx="4">
                  <c:v>32183.208853021875</c:v>
                </c:pt>
                <c:pt idx="5">
                  <c:v>32022.292808756767</c:v>
                </c:pt>
                <c:pt idx="6">
                  <c:v>31862.181344712983</c:v>
                </c:pt>
                <c:pt idx="7">
                  <c:v>31702.870437989419</c:v>
                </c:pt>
                <c:pt idx="8">
                  <c:v>64544.356085799474</c:v>
                </c:pt>
                <c:pt idx="9">
                  <c:v>64221.634305370477</c:v>
                </c:pt>
                <c:pt idx="10">
                  <c:v>63900.526133843625</c:v>
                </c:pt>
                <c:pt idx="11">
                  <c:v>63581.023503174401</c:v>
                </c:pt>
                <c:pt idx="12">
                  <c:v>63263.118385658527</c:v>
                </c:pt>
                <c:pt idx="13">
                  <c:v>62946.80279373024</c:v>
                </c:pt>
                <c:pt idx="14">
                  <c:v>62632.06877976159</c:v>
                </c:pt>
                <c:pt idx="15">
                  <c:v>62318.908435862781</c:v>
                </c:pt>
                <c:pt idx="16">
                  <c:v>62007.313893683473</c:v>
                </c:pt>
                <c:pt idx="17">
                  <c:v>111197.27732421504</c:v>
                </c:pt>
                <c:pt idx="18">
                  <c:v>110641.29093759398</c:v>
                </c:pt>
                <c:pt idx="19">
                  <c:v>110088.08448290601</c:v>
                </c:pt>
                <c:pt idx="20">
                  <c:v>109537.64406049148</c:v>
                </c:pt>
                <c:pt idx="21">
                  <c:v>108989.95584018902</c:v>
                </c:pt>
                <c:pt idx="22">
                  <c:v>108445.00606098809</c:v>
                </c:pt>
                <c:pt idx="23">
                  <c:v>107902.78103068314</c:v>
                </c:pt>
                <c:pt idx="24">
                  <c:v>107363.26712552973</c:v>
                </c:pt>
              </c:numCache>
            </c:numRef>
          </c:val>
          <c:smooth val="0"/>
          <c:extLst>
            <c:ext xmlns:c16="http://schemas.microsoft.com/office/drawing/2014/chart" uri="{C3380CC4-5D6E-409C-BE32-E72D297353CC}">
              <c16:uniqueId val="{00000001-3713-4ACB-9F87-82838EBB7B5D}"/>
            </c:ext>
          </c:extLst>
        </c:ser>
        <c:dLbls>
          <c:showLegendKey val="0"/>
          <c:showVal val="0"/>
          <c:showCatName val="0"/>
          <c:showSerName val="0"/>
          <c:showPercent val="0"/>
          <c:showBubbleSize val="0"/>
        </c:dLbls>
        <c:smooth val="0"/>
        <c:axId val="-2139255832"/>
        <c:axId val="-2139258600"/>
      </c:lineChart>
      <c:catAx>
        <c:axId val="-2139255832"/>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9258600"/>
        <c:crosses val="autoZero"/>
        <c:auto val="1"/>
        <c:lblAlgn val="ctr"/>
        <c:lblOffset val="100"/>
        <c:noMultiLvlLbl val="0"/>
      </c:catAx>
      <c:valAx>
        <c:axId val="-2139258600"/>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kWh</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92558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8</xdr:col>
      <xdr:colOff>657226</xdr:colOff>
      <xdr:row>5</xdr:row>
      <xdr:rowOff>95250</xdr:rowOff>
    </xdr:from>
    <xdr:to>
      <xdr:col>16</xdr:col>
      <xdr:colOff>3792</xdr:colOff>
      <xdr:row>17</xdr:row>
      <xdr:rowOff>30889</xdr:rowOff>
    </xdr:to>
    <xdr:sp macro="" textlink="">
      <xdr:nvSpPr>
        <xdr:cNvPr id="15" name="TextBox 14">
          <a:extLst>
            <a:ext uri="{FF2B5EF4-FFF2-40B4-BE49-F238E27FC236}">
              <a16:creationId xmlns:a16="http://schemas.microsoft.com/office/drawing/2014/main" id="{00000000-0008-0000-0000-00000F000000}"/>
            </a:ext>
          </a:extLst>
        </xdr:cNvPr>
        <xdr:cNvSpPr txBox="1"/>
      </xdr:nvSpPr>
      <xdr:spPr>
        <a:xfrm rot="19796167">
          <a:off x="6276976" y="1076325"/>
          <a:ext cx="4756766" cy="187873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9600">
              <a:solidFill>
                <a:schemeClr val="bg2"/>
              </a:solidFill>
            </a:rPr>
            <a:t>DRAFT</a:t>
          </a:r>
        </a:p>
      </xdr:txBody>
    </xdr:sp>
    <xdr:clientData/>
  </xdr:twoCellAnchor>
  <xdr:twoCellAnchor>
    <xdr:from>
      <xdr:col>0</xdr:col>
      <xdr:colOff>158091</xdr:colOff>
      <xdr:row>7</xdr:row>
      <xdr:rowOff>124006</xdr:rowOff>
    </xdr:from>
    <xdr:to>
      <xdr:col>6</xdr:col>
      <xdr:colOff>601804</xdr:colOff>
      <xdr:row>19</xdr:row>
      <xdr:rowOff>66512</xdr:rowOff>
    </xdr:to>
    <xdr:sp macro="" textlink="">
      <xdr:nvSpPr>
        <xdr:cNvPr id="12" name="TextBox 11">
          <a:extLst>
            <a:ext uri="{FF2B5EF4-FFF2-40B4-BE49-F238E27FC236}">
              <a16:creationId xmlns:a16="http://schemas.microsoft.com/office/drawing/2014/main" id="{00000000-0008-0000-0000-00000C000000}"/>
            </a:ext>
          </a:extLst>
        </xdr:cNvPr>
        <xdr:cNvSpPr txBox="1"/>
      </xdr:nvSpPr>
      <xdr:spPr>
        <a:xfrm rot="19796167">
          <a:off x="158091" y="1386622"/>
          <a:ext cx="4364469" cy="180320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9600">
              <a:solidFill>
                <a:schemeClr val="bg2"/>
              </a:solidFill>
            </a:rPr>
            <a:t>DRAFT</a:t>
          </a:r>
        </a:p>
      </xdr:txBody>
    </xdr:sp>
    <xdr:clientData/>
  </xdr:twoCellAnchor>
  <xdr:twoCellAnchor>
    <xdr:from>
      <xdr:col>3</xdr:col>
      <xdr:colOff>38100</xdr:colOff>
      <xdr:row>7</xdr:row>
      <xdr:rowOff>133350</xdr:rowOff>
    </xdr:from>
    <xdr:to>
      <xdr:col>12</xdr:col>
      <xdr:colOff>161925</xdr:colOff>
      <xdr:row>20</xdr:row>
      <xdr:rowOff>9525</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2019300" y="1720850"/>
          <a:ext cx="6067425" cy="19399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3200" b="1">
              <a:solidFill>
                <a:srgbClr val="00B0F0"/>
              </a:solidFill>
              <a:latin typeface="Arial" panose="020B0604020202020204" pitchFamily="34" charset="0"/>
              <a:cs typeface="Arial" panose="020B0604020202020204" pitchFamily="34" charset="0"/>
            </a:rPr>
            <a:t>Micro</a:t>
          </a:r>
          <a:r>
            <a:rPr lang="en-GB" sz="3200" b="1" baseline="0">
              <a:solidFill>
                <a:srgbClr val="00B0F0"/>
              </a:solidFill>
              <a:latin typeface="Arial" panose="020B0604020202020204" pitchFamily="34" charset="0"/>
              <a:cs typeface="Arial" panose="020B0604020202020204" pitchFamily="34" charset="0"/>
            </a:rPr>
            <a:t> and </a:t>
          </a:r>
          <a:r>
            <a:rPr lang="en-GB" sz="3200" b="1">
              <a:solidFill>
                <a:srgbClr val="00B0F0"/>
              </a:solidFill>
              <a:latin typeface="Arial" panose="020B0604020202020204" pitchFamily="34" charset="0"/>
              <a:cs typeface="Arial" panose="020B0604020202020204" pitchFamily="34" charset="0"/>
            </a:rPr>
            <a:t>Mini</a:t>
          </a:r>
          <a:r>
            <a:rPr lang="en-GB" sz="3200" b="1" baseline="0">
              <a:solidFill>
                <a:srgbClr val="00B0F0"/>
              </a:solidFill>
              <a:latin typeface="Arial" panose="020B0604020202020204" pitchFamily="34" charset="0"/>
              <a:cs typeface="Arial" panose="020B0604020202020204" pitchFamily="34" charset="0"/>
            </a:rPr>
            <a:t> Grid Economic Model</a:t>
          </a:r>
          <a:endParaRPr lang="en-GB" sz="3600" b="1">
            <a:solidFill>
              <a:srgbClr val="00B0F0"/>
            </a:solidFill>
            <a:latin typeface="Arial" panose="020B0604020202020204" pitchFamily="34" charset="0"/>
            <a:cs typeface="Arial" panose="020B0604020202020204" pitchFamily="34" charset="0"/>
          </a:endParaRPr>
        </a:p>
      </xdr:txBody>
    </xdr:sp>
    <xdr:clientData/>
  </xdr:twoCellAnchor>
  <xdr:twoCellAnchor>
    <xdr:from>
      <xdr:col>2</xdr:col>
      <xdr:colOff>168275</xdr:colOff>
      <xdr:row>5</xdr:row>
      <xdr:rowOff>76200</xdr:rowOff>
    </xdr:from>
    <xdr:to>
      <xdr:col>14</xdr:col>
      <xdr:colOff>397668</xdr:colOff>
      <xdr:row>9</xdr:row>
      <xdr:rowOff>9525</xdr:rowOff>
    </xdr:to>
    <xdr:grpSp>
      <xdr:nvGrpSpPr>
        <xdr:cNvPr id="3" name="Group 2">
          <a:extLst>
            <a:ext uri="{FF2B5EF4-FFF2-40B4-BE49-F238E27FC236}">
              <a16:creationId xmlns:a16="http://schemas.microsoft.com/office/drawing/2014/main" id="{00000000-0008-0000-0000-000003000000}"/>
            </a:ext>
          </a:extLst>
        </xdr:cNvPr>
        <xdr:cNvGrpSpPr>
          <a:grpSpLocks/>
        </xdr:cNvGrpSpPr>
      </xdr:nvGrpSpPr>
      <xdr:grpSpPr bwMode="auto">
        <a:xfrm>
          <a:off x="1524635" y="1059180"/>
          <a:ext cx="8580913" cy="603885"/>
          <a:chOff x="433388" y="789277"/>
          <a:chExt cx="8280400" cy="496804"/>
        </a:xfrm>
        <a:solidFill>
          <a:schemeClr val="tx2"/>
        </a:solidFill>
      </xdr:grpSpPr>
      <xdr:sp macro="" textlink="">
        <xdr:nvSpPr>
          <xdr:cNvPr id="4" name="Rectangle 7">
            <a:extLst>
              <a:ext uri="{FF2B5EF4-FFF2-40B4-BE49-F238E27FC236}">
                <a16:creationId xmlns:a16="http://schemas.microsoft.com/office/drawing/2014/main" id="{00000000-0008-0000-0000-000004000000}"/>
              </a:ext>
            </a:extLst>
          </xdr:cNvPr>
          <xdr:cNvSpPr>
            <a:spLocks noChangeArrowheads="1"/>
          </xdr:cNvSpPr>
        </xdr:nvSpPr>
        <xdr:spPr bwMode="auto">
          <a:xfrm>
            <a:off x="433388" y="789280"/>
            <a:ext cx="179387" cy="496801"/>
          </a:xfrm>
          <a:prstGeom prst="rect">
            <a:avLst/>
          </a:prstGeom>
          <a:grpFill/>
          <a:ln>
            <a:noFill/>
          </a:ln>
          <a:extLst>
            <a:ext uri="{91240B29-F687-4f45-9708-019B960494DF}">
              <a14:hiddenLine xmlns:a14="http://schemas.microsoft.com/office/drawing/2010/main" xmlns="" w="9525" algn="ctr">
                <a:solidFill>
                  <a:srgbClr val="000000"/>
                </a:solidFill>
                <a:miter lim="800000"/>
                <a:headEnd/>
                <a:tailEnd/>
              </a14:hiddenLine>
            </a:ext>
          </a:extLst>
        </xdr:spPr>
      </xdr:sp>
      <xdr:sp macro="" textlink="">
        <xdr:nvSpPr>
          <xdr:cNvPr id="5" name="Rectangle 8">
            <a:extLst>
              <a:ext uri="{FF2B5EF4-FFF2-40B4-BE49-F238E27FC236}">
                <a16:creationId xmlns:a16="http://schemas.microsoft.com/office/drawing/2014/main" id="{00000000-0008-0000-0000-000005000000}"/>
              </a:ext>
            </a:extLst>
          </xdr:cNvPr>
          <xdr:cNvSpPr>
            <a:spLocks noChangeArrowheads="1"/>
          </xdr:cNvSpPr>
        </xdr:nvSpPr>
        <xdr:spPr bwMode="auto">
          <a:xfrm>
            <a:off x="8534400" y="789279"/>
            <a:ext cx="179388" cy="496801"/>
          </a:xfrm>
          <a:prstGeom prst="rect">
            <a:avLst/>
          </a:prstGeom>
          <a:grpFill/>
          <a:ln>
            <a:noFill/>
          </a:ln>
          <a:extLst>
            <a:ext uri="{91240B29-F687-4f45-9708-019B960494DF}">
              <a14:hiddenLine xmlns:a14="http://schemas.microsoft.com/office/drawing/2010/main" xmlns="" w="9525" algn="ctr">
                <a:solidFill>
                  <a:srgbClr val="000000"/>
                </a:solidFill>
                <a:miter lim="800000"/>
                <a:headEnd/>
                <a:tailEnd/>
              </a14:hiddenLine>
            </a:ext>
          </a:extLst>
        </xdr:spPr>
      </xdr:sp>
      <xdr:sp macro="" textlink="">
        <xdr:nvSpPr>
          <xdr:cNvPr id="6" name="Rectangle 9">
            <a:extLst>
              <a:ext uri="{FF2B5EF4-FFF2-40B4-BE49-F238E27FC236}">
                <a16:creationId xmlns:a16="http://schemas.microsoft.com/office/drawing/2014/main" id="{00000000-0008-0000-0000-000006000000}"/>
              </a:ext>
            </a:extLst>
          </xdr:cNvPr>
          <xdr:cNvSpPr>
            <a:spLocks noChangeArrowheads="1"/>
          </xdr:cNvSpPr>
        </xdr:nvSpPr>
        <xdr:spPr bwMode="auto">
          <a:xfrm>
            <a:off x="492125" y="789277"/>
            <a:ext cx="8101013" cy="179356"/>
          </a:xfrm>
          <a:prstGeom prst="rect">
            <a:avLst/>
          </a:prstGeom>
          <a:grpFill/>
          <a:ln>
            <a:noFill/>
          </a:ln>
          <a:extLst>
            <a:ext uri="{91240B29-F687-4f45-9708-019B960494DF}">
              <a14:hiddenLine xmlns:a14="http://schemas.microsoft.com/office/drawing/2010/main" xmlns="" w="9525" algn="ctr">
                <a:solidFill>
                  <a:srgbClr val="000000"/>
                </a:solidFill>
                <a:miter lim="800000"/>
                <a:headEnd/>
                <a:tailEnd/>
              </a14:hiddenLine>
            </a:ext>
          </a:extLst>
        </xdr:spPr>
      </xdr:sp>
    </xdr:grpSp>
    <xdr:clientData/>
  </xdr:twoCellAnchor>
  <xdr:twoCellAnchor>
    <xdr:from>
      <xdr:col>2</xdr:col>
      <xdr:colOff>168275</xdr:colOff>
      <xdr:row>19</xdr:row>
      <xdr:rowOff>85725</xdr:rowOff>
    </xdr:from>
    <xdr:to>
      <xdr:col>14</xdr:col>
      <xdr:colOff>416718</xdr:colOff>
      <xdr:row>23</xdr:row>
      <xdr:rowOff>19050</xdr:rowOff>
    </xdr:to>
    <xdr:grpSp>
      <xdr:nvGrpSpPr>
        <xdr:cNvPr id="7" name="Group 4">
          <a:extLst>
            <a:ext uri="{FF2B5EF4-FFF2-40B4-BE49-F238E27FC236}">
              <a16:creationId xmlns:a16="http://schemas.microsoft.com/office/drawing/2014/main" id="{00000000-0008-0000-0000-000007000000}"/>
            </a:ext>
          </a:extLst>
        </xdr:cNvPr>
        <xdr:cNvGrpSpPr>
          <a:grpSpLocks/>
        </xdr:cNvGrpSpPr>
      </xdr:nvGrpSpPr>
      <xdr:grpSpPr bwMode="auto">
        <a:xfrm flipV="1">
          <a:off x="1524635" y="3415665"/>
          <a:ext cx="8599963" cy="603885"/>
          <a:chOff x="433388" y="789277"/>
          <a:chExt cx="8280400" cy="496800"/>
        </a:xfrm>
        <a:solidFill>
          <a:schemeClr val="tx2"/>
        </a:solidFill>
      </xdr:grpSpPr>
      <xdr:sp macro="" textlink="">
        <xdr:nvSpPr>
          <xdr:cNvPr id="8" name="Rectangle 10">
            <a:extLst>
              <a:ext uri="{FF2B5EF4-FFF2-40B4-BE49-F238E27FC236}">
                <a16:creationId xmlns:a16="http://schemas.microsoft.com/office/drawing/2014/main" id="{00000000-0008-0000-0000-000008000000}"/>
              </a:ext>
            </a:extLst>
          </xdr:cNvPr>
          <xdr:cNvSpPr>
            <a:spLocks noChangeArrowheads="1"/>
          </xdr:cNvSpPr>
        </xdr:nvSpPr>
        <xdr:spPr bwMode="auto">
          <a:xfrm>
            <a:off x="433388" y="789277"/>
            <a:ext cx="179387" cy="496800"/>
          </a:xfrm>
          <a:prstGeom prst="rect">
            <a:avLst/>
          </a:prstGeom>
          <a:grpFill/>
          <a:ln>
            <a:noFill/>
          </a:ln>
          <a:extLst>
            <a:ext uri="{91240B29-F687-4f45-9708-019B960494DF}">
              <a14:hiddenLine xmlns:a14="http://schemas.microsoft.com/office/drawing/2010/main" xmlns="" w="9525" algn="ctr">
                <a:solidFill>
                  <a:srgbClr val="000000"/>
                </a:solidFill>
                <a:miter lim="800000"/>
                <a:headEnd/>
                <a:tailEnd/>
              </a14:hiddenLine>
            </a:ext>
          </a:extLst>
        </xdr:spPr>
      </xdr:sp>
      <xdr:sp macro="" textlink="">
        <xdr:nvSpPr>
          <xdr:cNvPr id="9" name="Rectangle 11">
            <a:extLst>
              <a:ext uri="{FF2B5EF4-FFF2-40B4-BE49-F238E27FC236}">
                <a16:creationId xmlns:a16="http://schemas.microsoft.com/office/drawing/2014/main" id="{00000000-0008-0000-0000-000009000000}"/>
              </a:ext>
            </a:extLst>
          </xdr:cNvPr>
          <xdr:cNvSpPr>
            <a:spLocks noChangeArrowheads="1"/>
          </xdr:cNvSpPr>
        </xdr:nvSpPr>
        <xdr:spPr bwMode="auto">
          <a:xfrm>
            <a:off x="8534400" y="789277"/>
            <a:ext cx="179388" cy="496800"/>
          </a:xfrm>
          <a:prstGeom prst="rect">
            <a:avLst/>
          </a:prstGeom>
          <a:grpFill/>
          <a:ln>
            <a:noFill/>
          </a:ln>
          <a:extLst>
            <a:ext uri="{91240B29-F687-4f45-9708-019B960494DF}">
              <a14:hiddenLine xmlns:a14="http://schemas.microsoft.com/office/drawing/2010/main" xmlns="" w="9525" algn="ctr">
                <a:solidFill>
                  <a:srgbClr val="000000"/>
                </a:solidFill>
                <a:miter lim="800000"/>
                <a:headEnd/>
                <a:tailEnd/>
              </a14:hiddenLine>
            </a:ext>
          </a:extLst>
        </xdr:spPr>
      </xdr:sp>
      <xdr:sp macro="" textlink="">
        <xdr:nvSpPr>
          <xdr:cNvPr id="10" name="Rectangle 12">
            <a:extLst>
              <a:ext uri="{FF2B5EF4-FFF2-40B4-BE49-F238E27FC236}">
                <a16:creationId xmlns:a16="http://schemas.microsoft.com/office/drawing/2014/main" id="{00000000-0008-0000-0000-00000A000000}"/>
              </a:ext>
            </a:extLst>
          </xdr:cNvPr>
          <xdr:cNvSpPr>
            <a:spLocks noChangeArrowheads="1"/>
          </xdr:cNvSpPr>
        </xdr:nvSpPr>
        <xdr:spPr bwMode="auto">
          <a:xfrm>
            <a:off x="492125" y="789277"/>
            <a:ext cx="8101013" cy="179356"/>
          </a:xfrm>
          <a:prstGeom prst="rect">
            <a:avLst/>
          </a:prstGeom>
          <a:grpFill/>
          <a:ln>
            <a:noFill/>
          </a:ln>
          <a:extLst>
            <a:ext uri="{91240B29-F687-4f45-9708-019B960494DF}">
              <a14:hiddenLine xmlns:a14="http://schemas.microsoft.com/office/drawing/2010/main" xmlns="" w="9525" algn="ctr">
                <a:solidFill>
                  <a:srgbClr val="000000"/>
                </a:solidFill>
                <a:miter lim="800000"/>
                <a:headEnd/>
                <a:tailEnd/>
              </a14:hiddenLine>
            </a:ext>
          </a:extLst>
        </xdr:spPr>
      </xdr:sp>
    </xdr:grpSp>
    <xdr:clientData/>
  </xdr:twoCellAnchor>
  <xdr:twoCellAnchor editAs="oneCell">
    <xdr:from>
      <xdr:col>12</xdr:col>
      <xdr:colOff>395568</xdr:colOff>
      <xdr:row>18</xdr:row>
      <xdr:rowOff>22038</xdr:rowOff>
    </xdr:from>
    <xdr:to>
      <xdr:col>14</xdr:col>
      <xdr:colOff>71718</xdr:colOff>
      <xdr:row>21</xdr:row>
      <xdr:rowOff>47438</xdr:rowOff>
    </xdr:to>
    <xdr:pic>
      <xdr:nvPicPr>
        <xdr:cNvPr id="11" name="Picture 10">
          <a:extLst>
            <a:ext uri="{FF2B5EF4-FFF2-40B4-BE49-F238E27FC236}">
              <a16:creationId xmlns:a16="http://schemas.microsoft.com/office/drawing/2014/main" id="{00000000-0008-0000-00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127627" y="3025214"/>
          <a:ext cx="931209" cy="496048"/>
        </a:xfrm>
        <a:prstGeom prst="rect">
          <a:avLst/>
        </a:prstGeom>
        <a:noFill/>
        <a:extLst>
          <a:ext uri="{909E8E84-426E-40dd-AFC4-6F175D3DCCD1}">
            <a14:hiddenFill xmlns:a14="http://schemas.microsoft.com/office/drawing/2010/main" xmlns="">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13</xdr:col>
          <xdr:colOff>251460</xdr:colOff>
          <xdr:row>26</xdr:row>
          <xdr:rowOff>114300</xdr:rowOff>
        </xdr:from>
        <xdr:to>
          <xdr:col>16</xdr:col>
          <xdr:colOff>251460</xdr:colOff>
          <xdr:row>30</xdr:row>
          <xdr:rowOff>22860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cs typeface="Calibri"/>
                </a:rPr>
                <a:t>Enter &gt;&gt;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1057275</xdr:colOff>
      <xdr:row>19</xdr:row>
      <xdr:rowOff>28575</xdr:rowOff>
    </xdr:from>
    <xdr:to>
      <xdr:col>15</xdr:col>
      <xdr:colOff>451466</xdr:colOff>
      <xdr:row>29</xdr:row>
      <xdr:rowOff>135664</xdr:rowOff>
    </xdr:to>
    <xdr:sp macro="" textlink="">
      <xdr:nvSpPr>
        <xdr:cNvPr id="18" name="TextBox 17">
          <a:extLst>
            <a:ext uri="{FF2B5EF4-FFF2-40B4-BE49-F238E27FC236}">
              <a16:creationId xmlns:a16="http://schemas.microsoft.com/office/drawing/2014/main" id="{00000000-0008-0000-0200-000012000000}"/>
            </a:ext>
          </a:extLst>
        </xdr:cNvPr>
        <xdr:cNvSpPr txBox="1"/>
      </xdr:nvSpPr>
      <xdr:spPr>
        <a:xfrm rot="19796167">
          <a:off x="5791200" y="3276600"/>
          <a:ext cx="4756766" cy="187873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9600">
              <a:solidFill>
                <a:schemeClr val="bg2"/>
              </a:solidFill>
            </a:rPr>
            <a:t>DRAFT</a:t>
          </a:r>
        </a:p>
      </xdr:txBody>
    </xdr:sp>
    <xdr:clientData/>
  </xdr:twoCellAnchor>
  <xdr:twoCellAnchor>
    <xdr:from>
      <xdr:col>0</xdr:col>
      <xdr:colOff>323850</xdr:colOff>
      <xdr:row>20</xdr:row>
      <xdr:rowOff>28575</xdr:rowOff>
    </xdr:from>
    <xdr:to>
      <xdr:col>6</xdr:col>
      <xdr:colOff>346691</xdr:colOff>
      <xdr:row>30</xdr:row>
      <xdr:rowOff>135664</xdr:rowOff>
    </xdr:to>
    <xdr:sp macro="" textlink="">
      <xdr:nvSpPr>
        <xdr:cNvPr id="17" name="TextBox 16">
          <a:extLst>
            <a:ext uri="{FF2B5EF4-FFF2-40B4-BE49-F238E27FC236}">
              <a16:creationId xmlns:a16="http://schemas.microsoft.com/office/drawing/2014/main" id="{00000000-0008-0000-0200-000011000000}"/>
            </a:ext>
          </a:extLst>
        </xdr:cNvPr>
        <xdr:cNvSpPr txBox="1"/>
      </xdr:nvSpPr>
      <xdr:spPr>
        <a:xfrm rot="19796167">
          <a:off x="323850" y="3438525"/>
          <a:ext cx="4756766" cy="187873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9600">
              <a:solidFill>
                <a:schemeClr val="bg2"/>
              </a:solidFill>
            </a:rPr>
            <a:t>DRAFT</a:t>
          </a:r>
        </a:p>
      </xdr:txBody>
    </xdr:sp>
    <xdr:clientData/>
  </xdr:twoCellAnchor>
  <xdr:twoCellAnchor>
    <xdr:from>
      <xdr:col>3</xdr:col>
      <xdr:colOff>38100</xdr:colOff>
      <xdr:row>7</xdr:row>
      <xdr:rowOff>133350</xdr:rowOff>
    </xdr:from>
    <xdr:to>
      <xdr:col>11</xdr:col>
      <xdr:colOff>161925</xdr:colOff>
      <xdr:row>20</xdr:row>
      <xdr:rowOff>9525</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2019300" y="1720850"/>
          <a:ext cx="6067425" cy="19399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3200" b="1">
              <a:solidFill>
                <a:srgbClr val="00B0F0"/>
              </a:solidFill>
              <a:latin typeface="Arial" panose="020B0604020202020204" pitchFamily="34" charset="0"/>
              <a:cs typeface="Arial" panose="020B0604020202020204" pitchFamily="34" charset="0"/>
            </a:rPr>
            <a:t>Inputs</a:t>
          </a:r>
          <a:endParaRPr lang="en-GB" sz="3600" b="1">
            <a:solidFill>
              <a:srgbClr val="00B0F0"/>
            </a:solidFill>
            <a:latin typeface="Arial" panose="020B0604020202020204" pitchFamily="34" charset="0"/>
            <a:cs typeface="Arial" panose="020B0604020202020204" pitchFamily="34" charset="0"/>
          </a:endParaRPr>
        </a:p>
      </xdr:txBody>
    </xdr:sp>
    <xdr:clientData/>
  </xdr:twoCellAnchor>
  <xdr:twoCellAnchor>
    <xdr:from>
      <xdr:col>2</xdr:col>
      <xdr:colOff>168275</xdr:colOff>
      <xdr:row>5</xdr:row>
      <xdr:rowOff>76200</xdr:rowOff>
    </xdr:from>
    <xdr:to>
      <xdr:col>13</xdr:col>
      <xdr:colOff>397668</xdr:colOff>
      <xdr:row>9</xdr:row>
      <xdr:rowOff>9525</xdr:rowOff>
    </xdr:to>
    <xdr:grpSp>
      <xdr:nvGrpSpPr>
        <xdr:cNvPr id="3" name="Group 2">
          <a:extLst>
            <a:ext uri="{FF2B5EF4-FFF2-40B4-BE49-F238E27FC236}">
              <a16:creationId xmlns:a16="http://schemas.microsoft.com/office/drawing/2014/main" id="{00000000-0008-0000-0200-000003000000}"/>
            </a:ext>
          </a:extLst>
        </xdr:cNvPr>
        <xdr:cNvGrpSpPr>
          <a:grpSpLocks/>
        </xdr:cNvGrpSpPr>
      </xdr:nvGrpSpPr>
      <xdr:grpSpPr bwMode="auto">
        <a:xfrm>
          <a:off x="1494155" y="1059180"/>
          <a:ext cx="7719853" cy="603885"/>
          <a:chOff x="433388" y="789277"/>
          <a:chExt cx="8280400" cy="496804"/>
        </a:xfrm>
        <a:solidFill>
          <a:schemeClr val="tx2"/>
        </a:solidFill>
      </xdr:grpSpPr>
      <xdr:sp macro="" textlink="">
        <xdr:nvSpPr>
          <xdr:cNvPr id="4" name="Rectangle 7">
            <a:extLst>
              <a:ext uri="{FF2B5EF4-FFF2-40B4-BE49-F238E27FC236}">
                <a16:creationId xmlns:a16="http://schemas.microsoft.com/office/drawing/2014/main" id="{00000000-0008-0000-0200-000004000000}"/>
              </a:ext>
            </a:extLst>
          </xdr:cNvPr>
          <xdr:cNvSpPr>
            <a:spLocks noChangeArrowheads="1"/>
          </xdr:cNvSpPr>
        </xdr:nvSpPr>
        <xdr:spPr bwMode="auto">
          <a:xfrm>
            <a:off x="433388" y="789280"/>
            <a:ext cx="179387" cy="496801"/>
          </a:xfrm>
          <a:prstGeom prst="rect">
            <a:avLst/>
          </a:prstGeom>
          <a:grpFill/>
          <a:ln>
            <a:noFill/>
          </a:ln>
          <a:extLst>
            <a:ext uri="{91240B29-F687-4f45-9708-019B960494DF}">
              <a14:hiddenLine xmlns:a14="http://schemas.microsoft.com/office/drawing/2010/main" xmlns="" w="9525" algn="ctr">
                <a:solidFill>
                  <a:srgbClr val="000000"/>
                </a:solidFill>
                <a:miter lim="800000"/>
                <a:headEnd/>
                <a:tailEnd/>
              </a14:hiddenLine>
            </a:ext>
          </a:extLst>
        </xdr:spPr>
      </xdr:sp>
      <xdr:sp macro="" textlink="">
        <xdr:nvSpPr>
          <xdr:cNvPr id="5" name="Rectangle 8">
            <a:extLst>
              <a:ext uri="{FF2B5EF4-FFF2-40B4-BE49-F238E27FC236}">
                <a16:creationId xmlns:a16="http://schemas.microsoft.com/office/drawing/2014/main" id="{00000000-0008-0000-0200-000005000000}"/>
              </a:ext>
            </a:extLst>
          </xdr:cNvPr>
          <xdr:cNvSpPr>
            <a:spLocks noChangeArrowheads="1"/>
          </xdr:cNvSpPr>
        </xdr:nvSpPr>
        <xdr:spPr bwMode="auto">
          <a:xfrm>
            <a:off x="8534400" y="789279"/>
            <a:ext cx="179388" cy="496801"/>
          </a:xfrm>
          <a:prstGeom prst="rect">
            <a:avLst/>
          </a:prstGeom>
          <a:grpFill/>
          <a:ln>
            <a:noFill/>
          </a:ln>
          <a:extLst>
            <a:ext uri="{91240B29-F687-4f45-9708-019B960494DF}">
              <a14:hiddenLine xmlns:a14="http://schemas.microsoft.com/office/drawing/2010/main" xmlns="" w="9525" algn="ctr">
                <a:solidFill>
                  <a:srgbClr val="000000"/>
                </a:solidFill>
                <a:miter lim="800000"/>
                <a:headEnd/>
                <a:tailEnd/>
              </a14:hiddenLine>
            </a:ext>
          </a:extLst>
        </xdr:spPr>
      </xdr:sp>
      <xdr:sp macro="" textlink="">
        <xdr:nvSpPr>
          <xdr:cNvPr id="6" name="Rectangle 9">
            <a:extLst>
              <a:ext uri="{FF2B5EF4-FFF2-40B4-BE49-F238E27FC236}">
                <a16:creationId xmlns:a16="http://schemas.microsoft.com/office/drawing/2014/main" id="{00000000-0008-0000-0200-000006000000}"/>
              </a:ext>
            </a:extLst>
          </xdr:cNvPr>
          <xdr:cNvSpPr>
            <a:spLocks noChangeArrowheads="1"/>
          </xdr:cNvSpPr>
        </xdr:nvSpPr>
        <xdr:spPr bwMode="auto">
          <a:xfrm>
            <a:off x="492125" y="789277"/>
            <a:ext cx="8101013" cy="179356"/>
          </a:xfrm>
          <a:prstGeom prst="rect">
            <a:avLst/>
          </a:prstGeom>
          <a:grpFill/>
          <a:ln>
            <a:noFill/>
          </a:ln>
          <a:extLst>
            <a:ext uri="{91240B29-F687-4f45-9708-019B960494DF}">
              <a14:hiddenLine xmlns:a14="http://schemas.microsoft.com/office/drawing/2010/main" xmlns="" w="9525" algn="ctr">
                <a:solidFill>
                  <a:srgbClr val="000000"/>
                </a:solidFill>
                <a:miter lim="800000"/>
                <a:headEnd/>
                <a:tailEnd/>
              </a14:hiddenLine>
            </a:ext>
          </a:extLst>
        </xdr:spPr>
      </xdr:sp>
    </xdr:grpSp>
    <xdr:clientData/>
  </xdr:twoCellAnchor>
  <xdr:twoCellAnchor>
    <xdr:from>
      <xdr:col>2</xdr:col>
      <xdr:colOff>168275</xdr:colOff>
      <xdr:row>19</xdr:row>
      <xdr:rowOff>85725</xdr:rowOff>
    </xdr:from>
    <xdr:to>
      <xdr:col>13</xdr:col>
      <xdr:colOff>416718</xdr:colOff>
      <xdr:row>23</xdr:row>
      <xdr:rowOff>19050</xdr:rowOff>
    </xdr:to>
    <xdr:grpSp>
      <xdr:nvGrpSpPr>
        <xdr:cNvPr id="7" name="Group 4">
          <a:extLst>
            <a:ext uri="{FF2B5EF4-FFF2-40B4-BE49-F238E27FC236}">
              <a16:creationId xmlns:a16="http://schemas.microsoft.com/office/drawing/2014/main" id="{00000000-0008-0000-0200-000007000000}"/>
            </a:ext>
          </a:extLst>
        </xdr:cNvPr>
        <xdr:cNvGrpSpPr>
          <a:grpSpLocks/>
        </xdr:cNvGrpSpPr>
      </xdr:nvGrpSpPr>
      <xdr:grpSpPr bwMode="auto">
        <a:xfrm flipV="1">
          <a:off x="1494155" y="3415665"/>
          <a:ext cx="7738903" cy="603885"/>
          <a:chOff x="433388" y="789277"/>
          <a:chExt cx="8280400" cy="496800"/>
        </a:xfrm>
        <a:solidFill>
          <a:schemeClr val="tx2"/>
        </a:solidFill>
      </xdr:grpSpPr>
      <xdr:sp macro="" textlink="">
        <xdr:nvSpPr>
          <xdr:cNvPr id="8" name="Rectangle 10">
            <a:extLst>
              <a:ext uri="{FF2B5EF4-FFF2-40B4-BE49-F238E27FC236}">
                <a16:creationId xmlns:a16="http://schemas.microsoft.com/office/drawing/2014/main" id="{00000000-0008-0000-0200-000008000000}"/>
              </a:ext>
            </a:extLst>
          </xdr:cNvPr>
          <xdr:cNvSpPr>
            <a:spLocks noChangeArrowheads="1"/>
          </xdr:cNvSpPr>
        </xdr:nvSpPr>
        <xdr:spPr bwMode="auto">
          <a:xfrm>
            <a:off x="433388" y="789277"/>
            <a:ext cx="179387" cy="496800"/>
          </a:xfrm>
          <a:prstGeom prst="rect">
            <a:avLst/>
          </a:prstGeom>
          <a:grpFill/>
          <a:ln>
            <a:noFill/>
          </a:ln>
          <a:extLst>
            <a:ext uri="{91240B29-F687-4f45-9708-019B960494DF}">
              <a14:hiddenLine xmlns:a14="http://schemas.microsoft.com/office/drawing/2010/main" xmlns="" w="9525" algn="ctr">
                <a:solidFill>
                  <a:srgbClr val="000000"/>
                </a:solidFill>
                <a:miter lim="800000"/>
                <a:headEnd/>
                <a:tailEnd/>
              </a14:hiddenLine>
            </a:ext>
          </a:extLst>
        </xdr:spPr>
      </xdr:sp>
      <xdr:sp macro="" textlink="">
        <xdr:nvSpPr>
          <xdr:cNvPr id="9" name="Rectangle 11">
            <a:extLst>
              <a:ext uri="{FF2B5EF4-FFF2-40B4-BE49-F238E27FC236}">
                <a16:creationId xmlns:a16="http://schemas.microsoft.com/office/drawing/2014/main" id="{00000000-0008-0000-0200-000009000000}"/>
              </a:ext>
            </a:extLst>
          </xdr:cNvPr>
          <xdr:cNvSpPr>
            <a:spLocks noChangeArrowheads="1"/>
          </xdr:cNvSpPr>
        </xdr:nvSpPr>
        <xdr:spPr bwMode="auto">
          <a:xfrm>
            <a:off x="8534400" y="789277"/>
            <a:ext cx="179388" cy="496800"/>
          </a:xfrm>
          <a:prstGeom prst="rect">
            <a:avLst/>
          </a:prstGeom>
          <a:grpFill/>
          <a:ln>
            <a:noFill/>
          </a:ln>
          <a:extLst>
            <a:ext uri="{91240B29-F687-4f45-9708-019B960494DF}">
              <a14:hiddenLine xmlns:a14="http://schemas.microsoft.com/office/drawing/2010/main" xmlns="" w="9525" algn="ctr">
                <a:solidFill>
                  <a:srgbClr val="000000"/>
                </a:solidFill>
                <a:miter lim="800000"/>
                <a:headEnd/>
                <a:tailEnd/>
              </a14:hiddenLine>
            </a:ext>
          </a:extLst>
        </xdr:spPr>
      </xdr:sp>
      <xdr:sp macro="" textlink="">
        <xdr:nvSpPr>
          <xdr:cNvPr id="10" name="Rectangle 12">
            <a:extLst>
              <a:ext uri="{FF2B5EF4-FFF2-40B4-BE49-F238E27FC236}">
                <a16:creationId xmlns:a16="http://schemas.microsoft.com/office/drawing/2014/main" id="{00000000-0008-0000-0200-00000A000000}"/>
              </a:ext>
            </a:extLst>
          </xdr:cNvPr>
          <xdr:cNvSpPr>
            <a:spLocks noChangeArrowheads="1"/>
          </xdr:cNvSpPr>
        </xdr:nvSpPr>
        <xdr:spPr bwMode="auto">
          <a:xfrm>
            <a:off x="492125" y="789277"/>
            <a:ext cx="8101013" cy="179356"/>
          </a:xfrm>
          <a:prstGeom prst="rect">
            <a:avLst/>
          </a:prstGeom>
          <a:grpFill/>
          <a:ln>
            <a:noFill/>
          </a:ln>
          <a:extLst>
            <a:ext uri="{91240B29-F687-4f45-9708-019B960494DF}">
              <a14:hiddenLine xmlns:a14="http://schemas.microsoft.com/office/drawing/2010/main" xmlns="" w="9525" algn="ctr">
                <a:solidFill>
                  <a:srgbClr val="000000"/>
                </a:solidFill>
                <a:miter lim="800000"/>
                <a:headEnd/>
                <a:tailEnd/>
              </a14:hiddenLine>
            </a:ext>
          </a:extLst>
        </xdr:spPr>
      </xdr:sp>
    </xdr:grpSp>
    <xdr:clientData/>
  </xdr:twoCellAnchor>
  <xdr:twoCellAnchor editAs="oneCell">
    <xdr:from>
      <xdr:col>11</xdr:col>
      <xdr:colOff>552450</xdr:colOff>
      <xdr:row>18</xdr:row>
      <xdr:rowOff>44450</xdr:rowOff>
    </xdr:from>
    <xdr:to>
      <xdr:col>13</xdr:col>
      <xdr:colOff>127000</xdr:colOff>
      <xdr:row>21</xdr:row>
      <xdr:rowOff>69850</xdr:rowOff>
    </xdr:to>
    <xdr:pic>
      <xdr:nvPicPr>
        <xdr:cNvPr id="12" name="Picture 11">
          <a:extLst>
            <a:ext uri="{FF2B5EF4-FFF2-40B4-BE49-F238E27FC236}">
              <a16:creationId xmlns:a16="http://schemas.microsoft.com/office/drawing/2014/main" id="{00000000-0008-0000-02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77250" y="3378200"/>
          <a:ext cx="895350" cy="501650"/>
        </a:xfrm>
        <a:prstGeom prst="rect">
          <a:avLst/>
        </a:prstGeom>
        <a:noFill/>
        <a:extLst>
          <a:ext uri="{909E8E84-426E-40dd-AFC4-6F175D3DCCD1}">
            <a14:hiddenFill xmlns:a14="http://schemas.microsoft.com/office/drawing/2010/main" xmlns="">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5</xdr:col>
          <xdr:colOff>533400</xdr:colOff>
          <xdr:row>27</xdr:row>
          <xdr:rowOff>76200</xdr:rowOff>
        </xdr:from>
        <xdr:to>
          <xdr:col>9</xdr:col>
          <xdr:colOff>99060</xdr:colOff>
          <xdr:row>29</xdr:row>
          <xdr:rowOff>99060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200-000001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cs typeface="Calibri"/>
                </a:rPr>
                <a:t>&lt;&lt; </a:t>
              </a:r>
              <a:r>
                <a:rPr lang="en-US" sz="1100" b="0" i="0" u="none" strike="noStrike" baseline="0">
                  <a:solidFill>
                    <a:srgbClr val="000000"/>
                  </a:solidFill>
                  <a:latin typeface="Calibri"/>
                  <a:cs typeface="Calibri"/>
                </a:rPr>
                <a:t>G</a:t>
              </a:r>
              <a:r>
                <a:rPr lang="en-US" sz="1100" b="1" i="0" u="none" strike="noStrike" baseline="0">
                  <a:solidFill>
                    <a:srgbClr val="000000"/>
                  </a:solidFill>
                  <a:latin typeface="Calibri"/>
                  <a:cs typeface="Calibri"/>
                </a:rPr>
                <a:t>eneral &gt;&gt;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518160</xdr:colOff>
          <xdr:row>30</xdr:row>
          <xdr:rowOff>137160</xdr:rowOff>
        </xdr:from>
        <xdr:to>
          <xdr:col>9</xdr:col>
          <xdr:colOff>99060</xdr:colOff>
          <xdr:row>33</xdr:row>
          <xdr:rowOff>22860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cs typeface="Calibri"/>
                </a:rPr>
                <a:t>&lt;&lt; Plant Expenditure and Information &gt;&gt;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518160</xdr:colOff>
          <xdr:row>34</xdr:row>
          <xdr:rowOff>60960</xdr:rowOff>
        </xdr:from>
        <xdr:to>
          <xdr:col>9</xdr:col>
          <xdr:colOff>60960</xdr:colOff>
          <xdr:row>36</xdr:row>
          <xdr:rowOff>99060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2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cs typeface="Calibri"/>
                </a:rPr>
                <a:t>&lt;&lt; Revenue and Electricity Consumption &gt;&gt;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37</xdr:row>
          <xdr:rowOff>137160</xdr:rowOff>
        </xdr:from>
        <xdr:to>
          <xdr:col>9</xdr:col>
          <xdr:colOff>60960</xdr:colOff>
          <xdr:row>39</xdr:row>
          <xdr:rowOff>152400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200-000004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cs typeface="Calibri"/>
                </a:rPr>
                <a:t>&lt;&lt; Carbon Dioxide Inputs &gt;&gt;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518160</xdr:colOff>
          <xdr:row>43</xdr:row>
          <xdr:rowOff>60960</xdr:rowOff>
        </xdr:from>
        <xdr:to>
          <xdr:col>9</xdr:col>
          <xdr:colOff>22860</xdr:colOff>
          <xdr:row>45</xdr:row>
          <xdr:rowOff>99060</xdr:rowOff>
        </xdr:to>
        <xdr:sp macro="" textlink="">
          <xdr:nvSpPr>
            <xdr:cNvPr id="2053" name="Button 5" hidden="1">
              <a:extLst>
                <a:ext uri="{63B3BB69-23CF-44E3-9099-C40C66FF867C}">
                  <a14:compatExt spid="_x0000_s2053"/>
                </a:ext>
                <a:ext uri="{FF2B5EF4-FFF2-40B4-BE49-F238E27FC236}">
                  <a16:creationId xmlns:a16="http://schemas.microsoft.com/office/drawing/2014/main" id="{00000000-0008-0000-0200-000005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cs typeface="Calibri"/>
                </a:rPr>
                <a:t>&lt;&lt; Results &gt;&gt;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22860</xdr:colOff>
          <xdr:row>1</xdr:row>
          <xdr:rowOff>76200</xdr:rowOff>
        </xdr:from>
        <xdr:to>
          <xdr:col>8</xdr:col>
          <xdr:colOff>1965960</xdr:colOff>
          <xdr:row>3</xdr:row>
          <xdr:rowOff>22860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300-000001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cs typeface="Calibri"/>
                </a:rPr>
                <a:t>Next &gt;&gt;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800100</xdr:colOff>
          <xdr:row>1</xdr:row>
          <xdr:rowOff>99060</xdr:rowOff>
        </xdr:from>
        <xdr:to>
          <xdr:col>6</xdr:col>
          <xdr:colOff>556260</xdr:colOff>
          <xdr:row>3</xdr:row>
          <xdr:rowOff>22860</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300-000002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cs typeface="Calibri"/>
                </a:rPr>
                <a:t>&lt;&lt; Input Menu &gt;&gt;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76200</xdr:colOff>
          <xdr:row>2</xdr:row>
          <xdr:rowOff>0</xdr:rowOff>
        </xdr:from>
        <xdr:to>
          <xdr:col>4</xdr:col>
          <xdr:colOff>1851660</xdr:colOff>
          <xdr:row>3</xdr:row>
          <xdr:rowOff>137160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400-000001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cs typeface="Calibri"/>
                </a:rPr>
                <a:t>&lt;&lt; 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861060</xdr:colOff>
          <xdr:row>2</xdr:row>
          <xdr:rowOff>22860</xdr:rowOff>
        </xdr:from>
        <xdr:to>
          <xdr:col>8</xdr:col>
          <xdr:colOff>2804160</xdr:colOff>
          <xdr:row>3</xdr:row>
          <xdr:rowOff>137160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400-000002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cs typeface="Calibri"/>
                </a:rPr>
                <a:t>Next &gt;&gt;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4404360</xdr:colOff>
          <xdr:row>1</xdr:row>
          <xdr:rowOff>152400</xdr:rowOff>
        </xdr:from>
        <xdr:to>
          <xdr:col>5</xdr:col>
          <xdr:colOff>1280160</xdr:colOff>
          <xdr:row>3</xdr:row>
          <xdr:rowOff>99060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400-000003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cs typeface="Calibri"/>
                </a:rPr>
                <a:t>&lt;&lt; Input Menu &gt;&gt;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556260</xdr:colOff>
          <xdr:row>1</xdr:row>
          <xdr:rowOff>175260</xdr:rowOff>
        </xdr:from>
        <xdr:to>
          <xdr:col>4</xdr:col>
          <xdr:colOff>2499360</xdr:colOff>
          <xdr:row>3</xdr:row>
          <xdr:rowOff>99060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5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cs typeface="Calibri"/>
                </a:rPr>
                <a:t>&lt;&lt; 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899160</xdr:colOff>
          <xdr:row>2</xdr:row>
          <xdr:rowOff>0</xdr:rowOff>
        </xdr:from>
        <xdr:to>
          <xdr:col>8</xdr:col>
          <xdr:colOff>2842260</xdr:colOff>
          <xdr:row>3</xdr:row>
          <xdr:rowOff>137160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500-000002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cs typeface="Calibri"/>
                </a:rPr>
                <a:t>Next &gt;&gt;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99060</xdr:colOff>
          <xdr:row>2</xdr:row>
          <xdr:rowOff>0</xdr:rowOff>
        </xdr:from>
        <xdr:to>
          <xdr:col>6</xdr:col>
          <xdr:colOff>266700</xdr:colOff>
          <xdr:row>3</xdr:row>
          <xdr:rowOff>137160</xdr:rowOff>
        </xdr:to>
        <xdr:sp macro="" textlink="">
          <xdr:nvSpPr>
            <xdr:cNvPr id="8196" name="Button 4" hidden="1">
              <a:extLst>
                <a:ext uri="{63B3BB69-23CF-44E3-9099-C40C66FF867C}">
                  <a14:compatExt spid="_x0000_s8196"/>
                </a:ext>
                <a:ext uri="{FF2B5EF4-FFF2-40B4-BE49-F238E27FC236}">
                  <a16:creationId xmlns:a16="http://schemas.microsoft.com/office/drawing/2014/main" id="{00000000-0008-0000-0500-000004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cs typeface="Calibri"/>
                </a:rPr>
                <a:t>&lt;&lt; Input Menu &gt;&gt;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457200</xdr:colOff>
          <xdr:row>1</xdr:row>
          <xdr:rowOff>175260</xdr:rowOff>
        </xdr:from>
        <xdr:to>
          <xdr:col>4</xdr:col>
          <xdr:colOff>2400300</xdr:colOff>
          <xdr:row>3</xdr:row>
          <xdr:rowOff>114300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600-000001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cs typeface="Calibri"/>
                </a:rPr>
                <a:t>&lt;&lt; 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2727960</xdr:colOff>
          <xdr:row>1</xdr:row>
          <xdr:rowOff>175260</xdr:rowOff>
        </xdr:from>
        <xdr:to>
          <xdr:col>8</xdr:col>
          <xdr:colOff>4671060</xdr:colOff>
          <xdr:row>3</xdr:row>
          <xdr:rowOff>99060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600-000003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cs typeface="Calibri"/>
                </a:rPr>
                <a:t>Results &gt;&gt;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213360</xdr:colOff>
          <xdr:row>1</xdr:row>
          <xdr:rowOff>137160</xdr:rowOff>
        </xdr:from>
        <xdr:to>
          <xdr:col>8</xdr:col>
          <xdr:colOff>556260</xdr:colOff>
          <xdr:row>3</xdr:row>
          <xdr:rowOff>76200</xdr:rowOff>
        </xdr:to>
        <xdr:sp macro="" textlink="">
          <xdr:nvSpPr>
            <xdr:cNvPr id="9220" name="Button 4" hidden="1">
              <a:extLst>
                <a:ext uri="{63B3BB69-23CF-44E3-9099-C40C66FF867C}">
                  <a14:compatExt spid="_x0000_s9220"/>
                </a:ext>
                <a:ext uri="{FF2B5EF4-FFF2-40B4-BE49-F238E27FC236}">
                  <a16:creationId xmlns:a16="http://schemas.microsoft.com/office/drawing/2014/main" id="{00000000-0008-0000-0600-000004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cs typeface="Calibri"/>
                </a:rPr>
                <a:t>&lt;&lt; Input Menu &gt;&gt;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8</xdr:col>
      <xdr:colOff>434337</xdr:colOff>
      <xdr:row>18</xdr:row>
      <xdr:rowOff>43323</xdr:rowOff>
    </xdr:from>
    <xdr:to>
      <xdr:col>16</xdr:col>
      <xdr:colOff>280771</xdr:colOff>
      <xdr:row>29</xdr:row>
      <xdr:rowOff>140887</xdr:rowOff>
    </xdr:to>
    <xdr:sp macro="" textlink="">
      <xdr:nvSpPr>
        <xdr:cNvPr id="24" name="TextBox 23">
          <a:extLst>
            <a:ext uri="{FF2B5EF4-FFF2-40B4-BE49-F238E27FC236}">
              <a16:creationId xmlns:a16="http://schemas.microsoft.com/office/drawing/2014/main" id="{00000000-0008-0000-0700-000018000000}"/>
            </a:ext>
          </a:extLst>
        </xdr:cNvPr>
        <xdr:cNvSpPr txBox="1"/>
      </xdr:nvSpPr>
      <xdr:spPr>
        <a:xfrm rot="19796167">
          <a:off x="6435087" y="3129423"/>
          <a:ext cx="4447009" cy="187873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9600">
              <a:solidFill>
                <a:schemeClr val="bg2"/>
              </a:solidFill>
            </a:rPr>
            <a:t>DRAFT</a:t>
          </a:r>
        </a:p>
      </xdr:txBody>
    </xdr:sp>
    <xdr:clientData/>
  </xdr:twoCellAnchor>
  <xdr:twoCellAnchor>
    <xdr:from>
      <xdr:col>0</xdr:col>
      <xdr:colOff>150620</xdr:colOff>
      <xdr:row>19</xdr:row>
      <xdr:rowOff>57149</xdr:rowOff>
    </xdr:from>
    <xdr:to>
      <xdr:col>7</xdr:col>
      <xdr:colOff>173461</xdr:colOff>
      <xdr:row>30</xdr:row>
      <xdr:rowOff>154713</xdr:rowOff>
    </xdr:to>
    <xdr:sp macro="" textlink="">
      <xdr:nvSpPr>
        <xdr:cNvPr id="23" name="TextBox 22">
          <a:extLst>
            <a:ext uri="{FF2B5EF4-FFF2-40B4-BE49-F238E27FC236}">
              <a16:creationId xmlns:a16="http://schemas.microsoft.com/office/drawing/2014/main" id="{00000000-0008-0000-0700-000017000000}"/>
            </a:ext>
          </a:extLst>
        </xdr:cNvPr>
        <xdr:cNvSpPr txBox="1"/>
      </xdr:nvSpPr>
      <xdr:spPr>
        <a:xfrm rot="19796167">
          <a:off x="150620" y="3305174"/>
          <a:ext cx="4756766" cy="187873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9600">
              <a:solidFill>
                <a:schemeClr val="bg2"/>
              </a:solidFill>
            </a:rPr>
            <a:t>DRAFT</a:t>
          </a:r>
        </a:p>
      </xdr:txBody>
    </xdr:sp>
    <xdr:clientData/>
  </xdr:twoCellAnchor>
  <xdr:twoCellAnchor>
    <xdr:from>
      <xdr:col>3</xdr:col>
      <xdr:colOff>38100</xdr:colOff>
      <xdr:row>9</xdr:row>
      <xdr:rowOff>133350</xdr:rowOff>
    </xdr:from>
    <xdr:to>
      <xdr:col>12</xdr:col>
      <xdr:colOff>161925</xdr:colOff>
      <xdr:row>22</xdr:row>
      <xdr:rowOff>9525</xdr:rowOff>
    </xdr:to>
    <xdr:sp macro="" textlink="">
      <xdr:nvSpPr>
        <xdr:cNvPr id="2" name="TextBox 1">
          <a:extLst>
            <a:ext uri="{FF2B5EF4-FFF2-40B4-BE49-F238E27FC236}">
              <a16:creationId xmlns:a16="http://schemas.microsoft.com/office/drawing/2014/main" id="{00000000-0008-0000-0700-000002000000}"/>
            </a:ext>
          </a:extLst>
        </xdr:cNvPr>
        <xdr:cNvSpPr txBox="1"/>
      </xdr:nvSpPr>
      <xdr:spPr>
        <a:xfrm>
          <a:off x="2019300" y="1720850"/>
          <a:ext cx="6067425" cy="19399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3200" b="1">
              <a:solidFill>
                <a:srgbClr val="00B0F0"/>
              </a:solidFill>
              <a:latin typeface="+mj-lt"/>
            </a:rPr>
            <a:t>Outputs</a:t>
          </a:r>
          <a:endParaRPr lang="en-GB" sz="3600" b="1">
            <a:solidFill>
              <a:srgbClr val="00B0F0"/>
            </a:solidFill>
            <a:latin typeface="+mj-lt"/>
          </a:endParaRPr>
        </a:p>
      </xdr:txBody>
    </xdr:sp>
    <xdr:clientData/>
  </xdr:twoCellAnchor>
  <xdr:twoCellAnchor editAs="oneCell">
    <xdr:from>
      <xdr:col>12</xdr:col>
      <xdr:colOff>539750</xdr:colOff>
      <xdr:row>20</xdr:row>
      <xdr:rowOff>19050</xdr:rowOff>
    </xdr:from>
    <xdr:to>
      <xdr:col>14</xdr:col>
      <xdr:colOff>114300</xdr:colOff>
      <xdr:row>23</xdr:row>
      <xdr:rowOff>44450</xdr:rowOff>
    </xdr:to>
    <xdr:pic>
      <xdr:nvPicPr>
        <xdr:cNvPr id="12" name="Picture 11">
          <a:extLst>
            <a:ext uri="{FF2B5EF4-FFF2-40B4-BE49-F238E27FC236}">
              <a16:creationId xmlns:a16="http://schemas.microsoft.com/office/drawing/2014/main" id="{00000000-0008-0000-07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64550" y="3352800"/>
          <a:ext cx="895350" cy="501650"/>
        </a:xfrm>
        <a:prstGeom prst="rect">
          <a:avLst/>
        </a:prstGeom>
        <a:noFill/>
        <a:extLst>
          <a:ext uri="{909E8E84-426E-40dd-AFC4-6F175D3DCCD1}">
            <a14:hiddenFill xmlns:a14="http://schemas.microsoft.com/office/drawing/2010/main" xmlns="">
              <a:solidFill>
                <a:srgbClr val="FFFFFF"/>
              </a:solidFill>
            </a14:hiddenFill>
          </a:ext>
        </a:extLst>
      </xdr:spPr>
    </xdr:pic>
    <xdr:clientData/>
  </xdr:twoCellAnchor>
  <xdr:twoCellAnchor>
    <xdr:from>
      <xdr:col>3</xdr:col>
      <xdr:colOff>38100</xdr:colOff>
      <xdr:row>9</xdr:row>
      <xdr:rowOff>133350</xdr:rowOff>
    </xdr:from>
    <xdr:to>
      <xdr:col>12</xdr:col>
      <xdr:colOff>161925</xdr:colOff>
      <xdr:row>22</xdr:row>
      <xdr:rowOff>9525</xdr:rowOff>
    </xdr:to>
    <xdr:sp macro="" textlink="">
      <xdr:nvSpPr>
        <xdr:cNvPr id="13" name="TextBox 12">
          <a:extLst>
            <a:ext uri="{FF2B5EF4-FFF2-40B4-BE49-F238E27FC236}">
              <a16:creationId xmlns:a16="http://schemas.microsoft.com/office/drawing/2014/main" id="{00000000-0008-0000-0700-00000D000000}"/>
            </a:ext>
          </a:extLst>
        </xdr:cNvPr>
        <xdr:cNvSpPr txBox="1"/>
      </xdr:nvSpPr>
      <xdr:spPr>
        <a:xfrm>
          <a:off x="2019300" y="1720850"/>
          <a:ext cx="6067425" cy="19399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3200" b="1">
              <a:solidFill>
                <a:srgbClr val="00B0F0"/>
              </a:solidFill>
              <a:latin typeface="+mj-lt"/>
            </a:rPr>
            <a:t>Outputs</a:t>
          </a:r>
          <a:endParaRPr lang="en-GB" sz="3600" b="1">
            <a:solidFill>
              <a:srgbClr val="00B0F0"/>
            </a:solidFill>
            <a:latin typeface="+mj-lt"/>
          </a:endParaRPr>
        </a:p>
      </xdr:txBody>
    </xdr:sp>
    <xdr:clientData/>
  </xdr:twoCellAnchor>
  <xdr:twoCellAnchor>
    <xdr:from>
      <xdr:col>2</xdr:col>
      <xdr:colOff>168275</xdr:colOff>
      <xdr:row>7</xdr:row>
      <xdr:rowOff>76200</xdr:rowOff>
    </xdr:from>
    <xdr:to>
      <xdr:col>14</xdr:col>
      <xdr:colOff>397668</xdr:colOff>
      <xdr:row>11</xdr:row>
      <xdr:rowOff>9525</xdr:rowOff>
    </xdr:to>
    <xdr:grpSp>
      <xdr:nvGrpSpPr>
        <xdr:cNvPr id="14" name="Group 13">
          <a:extLst>
            <a:ext uri="{FF2B5EF4-FFF2-40B4-BE49-F238E27FC236}">
              <a16:creationId xmlns:a16="http://schemas.microsoft.com/office/drawing/2014/main" id="{00000000-0008-0000-0700-00000E000000}"/>
            </a:ext>
          </a:extLst>
        </xdr:cNvPr>
        <xdr:cNvGrpSpPr>
          <a:grpSpLocks/>
        </xdr:cNvGrpSpPr>
      </xdr:nvGrpSpPr>
      <xdr:grpSpPr bwMode="auto">
        <a:xfrm>
          <a:off x="1524635" y="1394460"/>
          <a:ext cx="8146573" cy="603885"/>
          <a:chOff x="433388" y="789277"/>
          <a:chExt cx="8280400" cy="496804"/>
        </a:xfrm>
        <a:solidFill>
          <a:schemeClr val="tx2"/>
        </a:solidFill>
      </xdr:grpSpPr>
      <xdr:sp macro="" textlink="">
        <xdr:nvSpPr>
          <xdr:cNvPr id="15" name="Rectangle 7">
            <a:extLst>
              <a:ext uri="{FF2B5EF4-FFF2-40B4-BE49-F238E27FC236}">
                <a16:creationId xmlns:a16="http://schemas.microsoft.com/office/drawing/2014/main" id="{00000000-0008-0000-0700-00000F000000}"/>
              </a:ext>
            </a:extLst>
          </xdr:cNvPr>
          <xdr:cNvSpPr>
            <a:spLocks noChangeArrowheads="1"/>
          </xdr:cNvSpPr>
        </xdr:nvSpPr>
        <xdr:spPr bwMode="auto">
          <a:xfrm>
            <a:off x="433388" y="789280"/>
            <a:ext cx="179387" cy="496801"/>
          </a:xfrm>
          <a:prstGeom prst="rect">
            <a:avLst/>
          </a:prstGeom>
          <a:grpFill/>
          <a:ln>
            <a:noFill/>
          </a:ln>
          <a:extLst>
            <a:ext uri="{91240B29-F687-4f45-9708-019B960494DF}">
              <a14:hiddenLine xmlns:a14="http://schemas.microsoft.com/office/drawing/2010/main" xmlns="" w="9525" algn="ctr">
                <a:solidFill>
                  <a:srgbClr val="000000"/>
                </a:solidFill>
                <a:miter lim="800000"/>
                <a:headEnd/>
                <a:tailEnd/>
              </a14:hiddenLine>
            </a:ext>
          </a:extLst>
        </xdr:spPr>
      </xdr:sp>
      <xdr:sp macro="" textlink="">
        <xdr:nvSpPr>
          <xdr:cNvPr id="16" name="Rectangle 8">
            <a:extLst>
              <a:ext uri="{FF2B5EF4-FFF2-40B4-BE49-F238E27FC236}">
                <a16:creationId xmlns:a16="http://schemas.microsoft.com/office/drawing/2014/main" id="{00000000-0008-0000-0700-000010000000}"/>
              </a:ext>
            </a:extLst>
          </xdr:cNvPr>
          <xdr:cNvSpPr>
            <a:spLocks noChangeArrowheads="1"/>
          </xdr:cNvSpPr>
        </xdr:nvSpPr>
        <xdr:spPr bwMode="auto">
          <a:xfrm>
            <a:off x="8534400" y="789279"/>
            <a:ext cx="179388" cy="496801"/>
          </a:xfrm>
          <a:prstGeom prst="rect">
            <a:avLst/>
          </a:prstGeom>
          <a:grpFill/>
          <a:ln>
            <a:noFill/>
          </a:ln>
          <a:extLst>
            <a:ext uri="{91240B29-F687-4f45-9708-019B960494DF}">
              <a14:hiddenLine xmlns:a14="http://schemas.microsoft.com/office/drawing/2010/main" xmlns="" w="9525" algn="ctr">
                <a:solidFill>
                  <a:srgbClr val="000000"/>
                </a:solidFill>
                <a:miter lim="800000"/>
                <a:headEnd/>
                <a:tailEnd/>
              </a14:hiddenLine>
            </a:ext>
          </a:extLst>
        </xdr:spPr>
      </xdr:sp>
      <xdr:sp macro="" textlink="">
        <xdr:nvSpPr>
          <xdr:cNvPr id="17" name="Rectangle 9">
            <a:extLst>
              <a:ext uri="{FF2B5EF4-FFF2-40B4-BE49-F238E27FC236}">
                <a16:creationId xmlns:a16="http://schemas.microsoft.com/office/drawing/2014/main" id="{00000000-0008-0000-0700-000011000000}"/>
              </a:ext>
            </a:extLst>
          </xdr:cNvPr>
          <xdr:cNvSpPr>
            <a:spLocks noChangeArrowheads="1"/>
          </xdr:cNvSpPr>
        </xdr:nvSpPr>
        <xdr:spPr bwMode="auto">
          <a:xfrm>
            <a:off x="492125" y="789277"/>
            <a:ext cx="8101013" cy="179356"/>
          </a:xfrm>
          <a:prstGeom prst="rect">
            <a:avLst/>
          </a:prstGeom>
          <a:grpFill/>
          <a:ln>
            <a:noFill/>
          </a:ln>
          <a:extLst>
            <a:ext uri="{91240B29-F687-4f45-9708-019B960494DF}">
              <a14:hiddenLine xmlns:a14="http://schemas.microsoft.com/office/drawing/2010/main" xmlns="" w="9525" algn="ctr">
                <a:solidFill>
                  <a:srgbClr val="000000"/>
                </a:solidFill>
                <a:miter lim="800000"/>
                <a:headEnd/>
                <a:tailEnd/>
              </a14:hiddenLine>
            </a:ext>
          </a:extLst>
        </xdr:spPr>
      </xdr:sp>
    </xdr:grpSp>
    <xdr:clientData/>
  </xdr:twoCellAnchor>
  <xdr:twoCellAnchor>
    <xdr:from>
      <xdr:col>2</xdr:col>
      <xdr:colOff>168275</xdr:colOff>
      <xdr:row>21</xdr:row>
      <xdr:rowOff>85725</xdr:rowOff>
    </xdr:from>
    <xdr:to>
      <xdr:col>14</xdr:col>
      <xdr:colOff>416718</xdr:colOff>
      <xdr:row>25</xdr:row>
      <xdr:rowOff>19050</xdr:rowOff>
    </xdr:to>
    <xdr:grpSp>
      <xdr:nvGrpSpPr>
        <xdr:cNvPr id="18" name="Group 4">
          <a:extLst>
            <a:ext uri="{FF2B5EF4-FFF2-40B4-BE49-F238E27FC236}">
              <a16:creationId xmlns:a16="http://schemas.microsoft.com/office/drawing/2014/main" id="{00000000-0008-0000-0700-000012000000}"/>
            </a:ext>
          </a:extLst>
        </xdr:cNvPr>
        <xdr:cNvGrpSpPr>
          <a:grpSpLocks/>
        </xdr:cNvGrpSpPr>
      </xdr:nvGrpSpPr>
      <xdr:grpSpPr bwMode="auto">
        <a:xfrm flipV="1">
          <a:off x="1524635" y="3750945"/>
          <a:ext cx="8165623" cy="603885"/>
          <a:chOff x="433388" y="789277"/>
          <a:chExt cx="8280400" cy="496800"/>
        </a:xfrm>
        <a:solidFill>
          <a:schemeClr val="tx2"/>
        </a:solidFill>
      </xdr:grpSpPr>
      <xdr:sp macro="" textlink="">
        <xdr:nvSpPr>
          <xdr:cNvPr id="19" name="Rectangle 10">
            <a:extLst>
              <a:ext uri="{FF2B5EF4-FFF2-40B4-BE49-F238E27FC236}">
                <a16:creationId xmlns:a16="http://schemas.microsoft.com/office/drawing/2014/main" id="{00000000-0008-0000-0700-000013000000}"/>
              </a:ext>
            </a:extLst>
          </xdr:cNvPr>
          <xdr:cNvSpPr>
            <a:spLocks noChangeArrowheads="1"/>
          </xdr:cNvSpPr>
        </xdr:nvSpPr>
        <xdr:spPr bwMode="auto">
          <a:xfrm>
            <a:off x="433388" y="789277"/>
            <a:ext cx="179387" cy="496800"/>
          </a:xfrm>
          <a:prstGeom prst="rect">
            <a:avLst/>
          </a:prstGeom>
          <a:grpFill/>
          <a:ln>
            <a:noFill/>
          </a:ln>
          <a:extLst>
            <a:ext uri="{91240B29-F687-4f45-9708-019B960494DF}">
              <a14:hiddenLine xmlns:a14="http://schemas.microsoft.com/office/drawing/2010/main" xmlns="" w="9525" algn="ctr">
                <a:solidFill>
                  <a:srgbClr val="000000"/>
                </a:solidFill>
                <a:miter lim="800000"/>
                <a:headEnd/>
                <a:tailEnd/>
              </a14:hiddenLine>
            </a:ext>
          </a:extLst>
        </xdr:spPr>
      </xdr:sp>
      <xdr:sp macro="" textlink="">
        <xdr:nvSpPr>
          <xdr:cNvPr id="20" name="Rectangle 11">
            <a:extLst>
              <a:ext uri="{FF2B5EF4-FFF2-40B4-BE49-F238E27FC236}">
                <a16:creationId xmlns:a16="http://schemas.microsoft.com/office/drawing/2014/main" id="{00000000-0008-0000-0700-000014000000}"/>
              </a:ext>
            </a:extLst>
          </xdr:cNvPr>
          <xdr:cNvSpPr>
            <a:spLocks noChangeArrowheads="1"/>
          </xdr:cNvSpPr>
        </xdr:nvSpPr>
        <xdr:spPr bwMode="auto">
          <a:xfrm>
            <a:off x="8534400" y="789277"/>
            <a:ext cx="179388" cy="496800"/>
          </a:xfrm>
          <a:prstGeom prst="rect">
            <a:avLst/>
          </a:prstGeom>
          <a:grpFill/>
          <a:ln>
            <a:noFill/>
          </a:ln>
          <a:extLst>
            <a:ext uri="{91240B29-F687-4f45-9708-019B960494DF}">
              <a14:hiddenLine xmlns:a14="http://schemas.microsoft.com/office/drawing/2010/main" xmlns="" w="9525" algn="ctr">
                <a:solidFill>
                  <a:srgbClr val="000000"/>
                </a:solidFill>
                <a:miter lim="800000"/>
                <a:headEnd/>
                <a:tailEnd/>
              </a14:hiddenLine>
            </a:ext>
          </a:extLst>
        </xdr:spPr>
      </xdr:sp>
      <xdr:sp macro="" textlink="">
        <xdr:nvSpPr>
          <xdr:cNvPr id="21" name="Rectangle 12">
            <a:extLst>
              <a:ext uri="{FF2B5EF4-FFF2-40B4-BE49-F238E27FC236}">
                <a16:creationId xmlns:a16="http://schemas.microsoft.com/office/drawing/2014/main" id="{00000000-0008-0000-0700-000015000000}"/>
              </a:ext>
            </a:extLst>
          </xdr:cNvPr>
          <xdr:cNvSpPr>
            <a:spLocks noChangeArrowheads="1"/>
          </xdr:cNvSpPr>
        </xdr:nvSpPr>
        <xdr:spPr bwMode="auto">
          <a:xfrm>
            <a:off x="492125" y="789277"/>
            <a:ext cx="8101013" cy="179356"/>
          </a:xfrm>
          <a:prstGeom prst="rect">
            <a:avLst/>
          </a:prstGeom>
          <a:grpFill/>
          <a:ln>
            <a:noFill/>
          </a:ln>
          <a:extLst>
            <a:ext uri="{91240B29-F687-4f45-9708-019B960494DF}">
              <a14:hiddenLine xmlns:a14="http://schemas.microsoft.com/office/drawing/2010/main" xmlns="" w="9525" algn="ctr">
                <a:solidFill>
                  <a:srgbClr val="000000"/>
                </a:solidFill>
                <a:miter lim="800000"/>
                <a:headEnd/>
                <a:tailEnd/>
              </a14:hiddenLine>
            </a:ext>
          </a:extLst>
        </xdr:spPr>
      </xdr:sp>
    </xdr:grpSp>
    <xdr:clientData/>
  </xdr:twoCellAnchor>
  <xdr:twoCellAnchor editAs="oneCell">
    <xdr:from>
      <xdr:col>12</xdr:col>
      <xdr:colOff>552450</xdr:colOff>
      <xdr:row>20</xdr:row>
      <xdr:rowOff>44450</xdr:rowOff>
    </xdr:from>
    <xdr:to>
      <xdr:col>14</xdr:col>
      <xdr:colOff>127000</xdr:colOff>
      <xdr:row>23</xdr:row>
      <xdr:rowOff>69850</xdr:rowOff>
    </xdr:to>
    <xdr:pic>
      <xdr:nvPicPr>
        <xdr:cNvPr id="22" name="Picture 21">
          <a:extLst>
            <a:ext uri="{FF2B5EF4-FFF2-40B4-BE49-F238E27FC236}">
              <a16:creationId xmlns:a16="http://schemas.microsoft.com/office/drawing/2014/main" id="{00000000-0008-0000-07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77250" y="3378200"/>
          <a:ext cx="895350" cy="501650"/>
        </a:xfrm>
        <a:prstGeom prst="rect">
          <a:avLst/>
        </a:prstGeom>
        <a:noFill/>
        <a:extLst>
          <a:ext uri="{909E8E84-426E-40dd-AFC4-6F175D3DCCD1}">
            <a14:hiddenFill xmlns:a14="http://schemas.microsoft.com/office/drawing/2010/main" xmlns="">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5</xdr:col>
          <xdr:colOff>251460</xdr:colOff>
          <xdr:row>31</xdr:row>
          <xdr:rowOff>137160</xdr:rowOff>
        </xdr:from>
        <xdr:to>
          <xdr:col>9</xdr:col>
          <xdr:colOff>342900</xdr:colOff>
          <xdr:row>33</xdr:row>
          <xdr:rowOff>152400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700-000001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cs typeface="Calibri"/>
                </a:rPr>
                <a:t>&lt;&lt; Results &gt;&gt;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251460</xdr:colOff>
          <xdr:row>37</xdr:row>
          <xdr:rowOff>60960</xdr:rowOff>
        </xdr:from>
        <xdr:to>
          <xdr:col>9</xdr:col>
          <xdr:colOff>289560</xdr:colOff>
          <xdr:row>39</xdr:row>
          <xdr:rowOff>60960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700-000002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cs typeface="Calibri"/>
                </a:rPr>
                <a:t>&lt;&lt; Input Menu &gt;&gt;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17</xdr:col>
      <xdr:colOff>1005839</xdr:colOff>
      <xdr:row>25</xdr:row>
      <xdr:rowOff>134619</xdr:rowOff>
    </xdr:from>
    <xdr:to>
      <xdr:col>23</xdr:col>
      <xdr:colOff>625746</xdr:colOff>
      <xdr:row>48</xdr:row>
      <xdr:rowOff>17780</xdr:rowOff>
    </xdr:to>
    <xdr:graphicFrame macro="">
      <xdr:nvGraphicFramePr>
        <xdr:cNvPr id="5" name="Chart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92527</xdr:colOff>
      <xdr:row>6</xdr:row>
      <xdr:rowOff>47796</xdr:rowOff>
    </xdr:from>
    <xdr:to>
      <xdr:col>15</xdr:col>
      <xdr:colOff>174491</xdr:colOff>
      <xdr:row>22</xdr:row>
      <xdr:rowOff>74877</xdr:rowOff>
    </xdr:to>
    <xdr:graphicFrame macro="">
      <xdr:nvGraphicFramePr>
        <xdr:cNvPr id="6" name="Chart 5">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239784</xdr:colOff>
      <xdr:row>5</xdr:row>
      <xdr:rowOff>156061</xdr:rowOff>
    </xdr:from>
    <xdr:to>
      <xdr:col>17</xdr:col>
      <xdr:colOff>805817</xdr:colOff>
      <xdr:row>22</xdr:row>
      <xdr:rowOff>262</xdr:rowOff>
    </xdr:to>
    <xdr:graphicFrame macro="">
      <xdr:nvGraphicFramePr>
        <xdr:cNvPr id="8" name="Chart 7">
          <a:extLst>
            <a:ext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253094</xdr:colOff>
      <xdr:row>25</xdr:row>
      <xdr:rowOff>86723</xdr:rowOff>
    </xdr:from>
    <xdr:to>
      <xdr:col>17</xdr:col>
      <xdr:colOff>579119</xdr:colOff>
      <xdr:row>47</xdr:row>
      <xdr:rowOff>335280</xdr:rowOff>
    </xdr:to>
    <xdr:graphicFrame macro="">
      <xdr:nvGraphicFramePr>
        <xdr:cNvPr id="9" name="Chart 8">
          <a:extLst>
            <a:ext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xdr:from>
          <xdr:col>19</xdr:col>
          <xdr:colOff>1851660</xdr:colOff>
          <xdr:row>58</xdr:row>
          <xdr:rowOff>152400</xdr:rowOff>
        </xdr:from>
        <xdr:to>
          <xdr:col>20</xdr:col>
          <xdr:colOff>1051560</xdr:colOff>
          <xdr:row>59</xdr:row>
          <xdr:rowOff>60960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800-0000012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1" i="0" u="none" strike="noStrike" baseline="0">
                  <a:solidFill>
                    <a:srgbClr val="000000"/>
                  </a:solidFill>
                  <a:latin typeface="Calibri"/>
                  <a:cs typeface="Calibri"/>
                </a:rPr>
                <a:t>&lt;&lt; To Input Menu &gt;&gt;</a:t>
              </a:r>
            </a:p>
          </xdr:txBody>
        </xdr:sp>
        <xdr:clientData fPrintsWithSheet="0"/>
      </xdr:twoCellAnchor>
    </mc:Choice>
    <mc:Fallback/>
  </mc:AlternateContent>
  <xdr:twoCellAnchor>
    <xdr:from>
      <xdr:col>17</xdr:col>
      <xdr:colOff>944880</xdr:colOff>
      <xdr:row>4</xdr:row>
      <xdr:rowOff>121920</xdr:rowOff>
    </xdr:from>
    <xdr:to>
      <xdr:col>23</xdr:col>
      <xdr:colOff>960120</xdr:colOff>
      <xdr:row>23</xdr:row>
      <xdr:rowOff>30480</xdr:rowOff>
    </xdr:to>
    <xdr:graphicFrame macro="">
      <xdr:nvGraphicFramePr>
        <xdr:cNvPr id="7" name="Chart 6">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9</xdr:col>
      <xdr:colOff>285750</xdr:colOff>
      <xdr:row>11</xdr:row>
      <xdr:rowOff>95249</xdr:rowOff>
    </xdr:from>
    <xdr:to>
      <xdr:col>15</xdr:col>
      <xdr:colOff>675109</xdr:colOff>
      <xdr:row>21</xdr:row>
      <xdr:rowOff>116613</xdr:rowOff>
    </xdr:to>
    <xdr:sp macro="" textlink="">
      <xdr:nvSpPr>
        <xdr:cNvPr id="26" name="TextBox 25">
          <a:extLst>
            <a:ext uri="{FF2B5EF4-FFF2-40B4-BE49-F238E27FC236}">
              <a16:creationId xmlns:a16="http://schemas.microsoft.com/office/drawing/2014/main" id="{00000000-0008-0000-0900-00001A000000}"/>
            </a:ext>
          </a:extLst>
        </xdr:cNvPr>
        <xdr:cNvSpPr txBox="1"/>
      </xdr:nvSpPr>
      <xdr:spPr>
        <a:xfrm rot="19796167">
          <a:off x="6372225" y="2047874"/>
          <a:ext cx="4447009" cy="164061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9600">
              <a:solidFill>
                <a:schemeClr val="bg2"/>
              </a:solidFill>
            </a:rPr>
            <a:t>DRAFT</a:t>
          </a:r>
        </a:p>
      </xdr:txBody>
    </xdr:sp>
    <xdr:clientData/>
  </xdr:twoCellAnchor>
  <xdr:twoCellAnchor>
    <xdr:from>
      <xdr:col>0</xdr:col>
      <xdr:colOff>542925</xdr:colOff>
      <xdr:row>13</xdr:row>
      <xdr:rowOff>133350</xdr:rowOff>
    </xdr:from>
    <xdr:to>
      <xdr:col>7</xdr:col>
      <xdr:colOff>256009</xdr:colOff>
      <xdr:row>23</xdr:row>
      <xdr:rowOff>154714</xdr:rowOff>
    </xdr:to>
    <xdr:sp macro="" textlink="">
      <xdr:nvSpPr>
        <xdr:cNvPr id="25" name="TextBox 24">
          <a:extLst>
            <a:ext uri="{FF2B5EF4-FFF2-40B4-BE49-F238E27FC236}">
              <a16:creationId xmlns:a16="http://schemas.microsoft.com/office/drawing/2014/main" id="{00000000-0008-0000-0900-000019000000}"/>
            </a:ext>
          </a:extLst>
        </xdr:cNvPr>
        <xdr:cNvSpPr txBox="1"/>
      </xdr:nvSpPr>
      <xdr:spPr>
        <a:xfrm rot="19796167">
          <a:off x="542925" y="2409825"/>
          <a:ext cx="4447009" cy="164061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9600">
              <a:solidFill>
                <a:schemeClr val="bg2"/>
              </a:solidFill>
            </a:rPr>
            <a:t>DRAFT</a:t>
          </a:r>
        </a:p>
      </xdr:txBody>
    </xdr:sp>
    <xdr:clientData/>
  </xdr:twoCellAnchor>
  <xdr:twoCellAnchor>
    <xdr:from>
      <xdr:col>3</xdr:col>
      <xdr:colOff>38100</xdr:colOff>
      <xdr:row>9</xdr:row>
      <xdr:rowOff>133350</xdr:rowOff>
    </xdr:from>
    <xdr:to>
      <xdr:col>12</xdr:col>
      <xdr:colOff>161925</xdr:colOff>
      <xdr:row>22</xdr:row>
      <xdr:rowOff>9525</xdr:rowOff>
    </xdr:to>
    <xdr:sp macro="" textlink="">
      <xdr:nvSpPr>
        <xdr:cNvPr id="2" name="TextBox 1">
          <a:extLst>
            <a:ext uri="{FF2B5EF4-FFF2-40B4-BE49-F238E27FC236}">
              <a16:creationId xmlns:a16="http://schemas.microsoft.com/office/drawing/2014/main" id="{00000000-0008-0000-0900-000002000000}"/>
            </a:ext>
          </a:extLst>
        </xdr:cNvPr>
        <xdr:cNvSpPr txBox="1"/>
      </xdr:nvSpPr>
      <xdr:spPr>
        <a:xfrm>
          <a:off x="2019300" y="1720850"/>
          <a:ext cx="6067425" cy="19399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3200" b="1">
              <a:solidFill>
                <a:srgbClr val="00B0F0"/>
              </a:solidFill>
              <a:latin typeface="+mj-lt"/>
            </a:rPr>
            <a:t>Calculations</a:t>
          </a:r>
          <a:endParaRPr lang="en-GB" sz="3600" b="1">
            <a:solidFill>
              <a:srgbClr val="00B0F0"/>
            </a:solidFill>
            <a:latin typeface="+mj-lt"/>
          </a:endParaRPr>
        </a:p>
      </xdr:txBody>
    </xdr:sp>
    <xdr:clientData/>
  </xdr:twoCellAnchor>
  <xdr:twoCellAnchor editAs="oneCell">
    <xdr:from>
      <xdr:col>12</xdr:col>
      <xdr:colOff>558800</xdr:colOff>
      <xdr:row>20</xdr:row>
      <xdr:rowOff>12700</xdr:rowOff>
    </xdr:from>
    <xdr:to>
      <xdr:col>14</xdr:col>
      <xdr:colOff>133350</xdr:colOff>
      <xdr:row>23</xdr:row>
      <xdr:rowOff>38100</xdr:rowOff>
    </xdr:to>
    <xdr:pic>
      <xdr:nvPicPr>
        <xdr:cNvPr id="14" name="Picture 13">
          <a:extLst>
            <a:ext uri="{FF2B5EF4-FFF2-40B4-BE49-F238E27FC236}">
              <a16:creationId xmlns:a16="http://schemas.microsoft.com/office/drawing/2014/main" id="{00000000-0008-0000-09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83600" y="3346450"/>
          <a:ext cx="895350" cy="501650"/>
        </a:xfrm>
        <a:prstGeom prst="rect">
          <a:avLst/>
        </a:prstGeom>
        <a:noFill/>
        <a:extLst>
          <a:ext uri="{909E8E84-426E-40dd-AFC4-6F175D3DCCD1}">
            <a14:hiddenFill xmlns:a14="http://schemas.microsoft.com/office/drawing/2010/main" xmlns="">
              <a:solidFill>
                <a:srgbClr val="FFFFFF"/>
              </a:solidFill>
            </a14:hiddenFill>
          </a:ext>
        </a:extLst>
      </xdr:spPr>
    </xdr:pic>
    <xdr:clientData/>
  </xdr:twoCellAnchor>
  <xdr:twoCellAnchor>
    <xdr:from>
      <xdr:col>3</xdr:col>
      <xdr:colOff>38100</xdr:colOff>
      <xdr:row>9</xdr:row>
      <xdr:rowOff>133350</xdr:rowOff>
    </xdr:from>
    <xdr:to>
      <xdr:col>12</xdr:col>
      <xdr:colOff>161925</xdr:colOff>
      <xdr:row>22</xdr:row>
      <xdr:rowOff>9525</xdr:rowOff>
    </xdr:to>
    <xdr:sp macro="" textlink="">
      <xdr:nvSpPr>
        <xdr:cNvPr id="15" name="TextBox 14">
          <a:extLst>
            <a:ext uri="{FF2B5EF4-FFF2-40B4-BE49-F238E27FC236}">
              <a16:creationId xmlns:a16="http://schemas.microsoft.com/office/drawing/2014/main" id="{00000000-0008-0000-0900-00000F000000}"/>
            </a:ext>
          </a:extLst>
        </xdr:cNvPr>
        <xdr:cNvSpPr txBox="1"/>
      </xdr:nvSpPr>
      <xdr:spPr>
        <a:xfrm>
          <a:off x="2019300" y="1720850"/>
          <a:ext cx="6067425" cy="19399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3200" b="1">
              <a:solidFill>
                <a:srgbClr val="00B0F0"/>
              </a:solidFill>
              <a:latin typeface="+mj-lt"/>
            </a:rPr>
            <a:t>Calculations</a:t>
          </a:r>
          <a:endParaRPr lang="en-GB" sz="3600" b="1">
            <a:solidFill>
              <a:srgbClr val="00B0F0"/>
            </a:solidFill>
            <a:latin typeface="+mj-lt"/>
          </a:endParaRPr>
        </a:p>
      </xdr:txBody>
    </xdr:sp>
    <xdr:clientData/>
  </xdr:twoCellAnchor>
  <xdr:twoCellAnchor>
    <xdr:from>
      <xdr:col>2</xdr:col>
      <xdr:colOff>168275</xdr:colOff>
      <xdr:row>7</xdr:row>
      <xdr:rowOff>76200</xdr:rowOff>
    </xdr:from>
    <xdr:to>
      <xdr:col>14</xdr:col>
      <xdr:colOff>397668</xdr:colOff>
      <xdr:row>11</xdr:row>
      <xdr:rowOff>9525</xdr:rowOff>
    </xdr:to>
    <xdr:grpSp>
      <xdr:nvGrpSpPr>
        <xdr:cNvPr id="16" name="Group 15">
          <a:extLst>
            <a:ext uri="{FF2B5EF4-FFF2-40B4-BE49-F238E27FC236}">
              <a16:creationId xmlns:a16="http://schemas.microsoft.com/office/drawing/2014/main" id="{00000000-0008-0000-0900-000010000000}"/>
            </a:ext>
          </a:extLst>
        </xdr:cNvPr>
        <xdr:cNvGrpSpPr>
          <a:grpSpLocks/>
        </xdr:cNvGrpSpPr>
      </xdr:nvGrpSpPr>
      <xdr:grpSpPr bwMode="auto">
        <a:xfrm>
          <a:off x="1524635" y="1394460"/>
          <a:ext cx="8367553" cy="603885"/>
          <a:chOff x="433388" y="789277"/>
          <a:chExt cx="8280400" cy="496804"/>
        </a:xfrm>
        <a:solidFill>
          <a:schemeClr val="tx2"/>
        </a:solidFill>
      </xdr:grpSpPr>
      <xdr:sp macro="" textlink="">
        <xdr:nvSpPr>
          <xdr:cNvPr id="17" name="Rectangle 7">
            <a:extLst>
              <a:ext uri="{FF2B5EF4-FFF2-40B4-BE49-F238E27FC236}">
                <a16:creationId xmlns:a16="http://schemas.microsoft.com/office/drawing/2014/main" id="{00000000-0008-0000-0900-000011000000}"/>
              </a:ext>
            </a:extLst>
          </xdr:cNvPr>
          <xdr:cNvSpPr>
            <a:spLocks noChangeArrowheads="1"/>
          </xdr:cNvSpPr>
        </xdr:nvSpPr>
        <xdr:spPr bwMode="auto">
          <a:xfrm>
            <a:off x="433388" y="789280"/>
            <a:ext cx="179387" cy="496801"/>
          </a:xfrm>
          <a:prstGeom prst="rect">
            <a:avLst/>
          </a:prstGeom>
          <a:grpFill/>
          <a:ln>
            <a:noFill/>
          </a:ln>
          <a:extLst>
            <a:ext uri="{91240B29-F687-4f45-9708-019B960494DF}">
              <a14:hiddenLine xmlns:a14="http://schemas.microsoft.com/office/drawing/2010/main" xmlns="" w="9525" algn="ctr">
                <a:solidFill>
                  <a:srgbClr val="000000"/>
                </a:solidFill>
                <a:miter lim="800000"/>
                <a:headEnd/>
                <a:tailEnd/>
              </a14:hiddenLine>
            </a:ext>
          </a:extLst>
        </xdr:spPr>
      </xdr:sp>
      <xdr:sp macro="" textlink="">
        <xdr:nvSpPr>
          <xdr:cNvPr id="18" name="Rectangle 8">
            <a:extLst>
              <a:ext uri="{FF2B5EF4-FFF2-40B4-BE49-F238E27FC236}">
                <a16:creationId xmlns:a16="http://schemas.microsoft.com/office/drawing/2014/main" id="{00000000-0008-0000-0900-000012000000}"/>
              </a:ext>
            </a:extLst>
          </xdr:cNvPr>
          <xdr:cNvSpPr>
            <a:spLocks noChangeArrowheads="1"/>
          </xdr:cNvSpPr>
        </xdr:nvSpPr>
        <xdr:spPr bwMode="auto">
          <a:xfrm>
            <a:off x="8534400" y="789279"/>
            <a:ext cx="179388" cy="496801"/>
          </a:xfrm>
          <a:prstGeom prst="rect">
            <a:avLst/>
          </a:prstGeom>
          <a:grpFill/>
          <a:ln>
            <a:noFill/>
          </a:ln>
          <a:extLst>
            <a:ext uri="{91240B29-F687-4f45-9708-019B960494DF}">
              <a14:hiddenLine xmlns:a14="http://schemas.microsoft.com/office/drawing/2010/main" xmlns="" w="9525" algn="ctr">
                <a:solidFill>
                  <a:srgbClr val="000000"/>
                </a:solidFill>
                <a:miter lim="800000"/>
                <a:headEnd/>
                <a:tailEnd/>
              </a14:hiddenLine>
            </a:ext>
          </a:extLst>
        </xdr:spPr>
      </xdr:sp>
      <xdr:sp macro="" textlink="">
        <xdr:nvSpPr>
          <xdr:cNvPr id="19" name="Rectangle 9">
            <a:extLst>
              <a:ext uri="{FF2B5EF4-FFF2-40B4-BE49-F238E27FC236}">
                <a16:creationId xmlns:a16="http://schemas.microsoft.com/office/drawing/2014/main" id="{00000000-0008-0000-0900-000013000000}"/>
              </a:ext>
            </a:extLst>
          </xdr:cNvPr>
          <xdr:cNvSpPr>
            <a:spLocks noChangeArrowheads="1"/>
          </xdr:cNvSpPr>
        </xdr:nvSpPr>
        <xdr:spPr bwMode="auto">
          <a:xfrm>
            <a:off x="492125" y="789277"/>
            <a:ext cx="8101013" cy="179356"/>
          </a:xfrm>
          <a:prstGeom prst="rect">
            <a:avLst/>
          </a:prstGeom>
          <a:grpFill/>
          <a:ln>
            <a:noFill/>
          </a:ln>
          <a:extLst>
            <a:ext uri="{91240B29-F687-4f45-9708-019B960494DF}">
              <a14:hiddenLine xmlns:a14="http://schemas.microsoft.com/office/drawing/2010/main" xmlns="" w="9525" algn="ctr">
                <a:solidFill>
                  <a:srgbClr val="000000"/>
                </a:solidFill>
                <a:miter lim="800000"/>
                <a:headEnd/>
                <a:tailEnd/>
              </a14:hiddenLine>
            </a:ext>
          </a:extLst>
        </xdr:spPr>
      </xdr:sp>
    </xdr:grpSp>
    <xdr:clientData/>
  </xdr:twoCellAnchor>
  <xdr:twoCellAnchor>
    <xdr:from>
      <xdr:col>2</xdr:col>
      <xdr:colOff>168275</xdr:colOff>
      <xdr:row>21</xdr:row>
      <xdr:rowOff>85725</xdr:rowOff>
    </xdr:from>
    <xdr:to>
      <xdr:col>14</xdr:col>
      <xdr:colOff>416718</xdr:colOff>
      <xdr:row>25</xdr:row>
      <xdr:rowOff>19050</xdr:rowOff>
    </xdr:to>
    <xdr:grpSp>
      <xdr:nvGrpSpPr>
        <xdr:cNvPr id="20" name="Group 4">
          <a:extLst>
            <a:ext uri="{FF2B5EF4-FFF2-40B4-BE49-F238E27FC236}">
              <a16:creationId xmlns:a16="http://schemas.microsoft.com/office/drawing/2014/main" id="{00000000-0008-0000-0900-000014000000}"/>
            </a:ext>
          </a:extLst>
        </xdr:cNvPr>
        <xdr:cNvGrpSpPr>
          <a:grpSpLocks/>
        </xdr:cNvGrpSpPr>
      </xdr:nvGrpSpPr>
      <xdr:grpSpPr bwMode="auto">
        <a:xfrm flipV="1">
          <a:off x="1524635" y="3750945"/>
          <a:ext cx="8386603" cy="603885"/>
          <a:chOff x="433388" y="789277"/>
          <a:chExt cx="8280400" cy="496800"/>
        </a:xfrm>
        <a:solidFill>
          <a:schemeClr val="tx2"/>
        </a:solidFill>
      </xdr:grpSpPr>
      <xdr:sp macro="" textlink="">
        <xdr:nvSpPr>
          <xdr:cNvPr id="21" name="Rectangle 10">
            <a:extLst>
              <a:ext uri="{FF2B5EF4-FFF2-40B4-BE49-F238E27FC236}">
                <a16:creationId xmlns:a16="http://schemas.microsoft.com/office/drawing/2014/main" id="{00000000-0008-0000-0900-000015000000}"/>
              </a:ext>
            </a:extLst>
          </xdr:cNvPr>
          <xdr:cNvSpPr>
            <a:spLocks noChangeArrowheads="1"/>
          </xdr:cNvSpPr>
        </xdr:nvSpPr>
        <xdr:spPr bwMode="auto">
          <a:xfrm>
            <a:off x="433388" y="789277"/>
            <a:ext cx="179387" cy="496800"/>
          </a:xfrm>
          <a:prstGeom prst="rect">
            <a:avLst/>
          </a:prstGeom>
          <a:grpFill/>
          <a:ln>
            <a:noFill/>
          </a:ln>
          <a:extLst>
            <a:ext uri="{91240B29-F687-4f45-9708-019B960494DF}">
              <a14:hiddenLine xmlns:a14="http://schemas.microsoft.com/office/drawing/2010/main" xmlns="" w="9525" algn="ctr">
                <a:solidFill>
                  <a:srgbClr val="000000"/>
                </a:solidFill>
                <a:miter lim="800000"/>
                <a:headEnd/>
                <a:tailEnd/>
              </a14:hiddenLine>
            </a:ext>
          </a:extLst>
        </xdr:spPr>
      </xdr:sp>
      <xdr:sp macro="" textlink="">
        <xdr:nvSpPr>
          <xdr:cNvPr id="22" name="Rectangle 11">
            <a:extLst>
              <a:ext uri="{FF2B5EF4-FFF2-40B4-BE49-F238E27FC236}">
                <a16:creationId xmlns:a16="http://schemas.microsoft.com/office/drawing/2014/main" id="{00000000-0008-0000-0900-000016000000}"/>
              </a:ext>
            </a:extLst>
          </xdr:cNvPr>
          <xdr:cNvSpPr>
            <a:spLocks noChangeArrowheads="1"/>
          </xdr:cNvSpPr>
        </xdr:nvSpPr>
        <xdr:spPr bwMode="auto">
          <a:xfrm>
            <a:off x="8534400" y="789277"/>
            <a:ext cx="179388" cy="496800"/>
          </a:xfrm>
          <a:prstGeom prst="rect">
            <a:avLst/>
          </a:prstGeom>
          <a:grpFill/>
          <a:ln>
            <a:noFill/>
          </a:ln>
          <a:extLst>
            <a:ext uri="{91240B29-F687-4f45-9708-019B960494DF}">
              <a14:hiddenLine xmlns:a14="http://schemas.microsoft.com/office/drawing/2010/main" xmlns="" w="9525" algn="ctr">
                <a:solidFill>
                  <a:srgbClr val="000000"/>
                </a:solidFill>
                <a:miter lim="800000"/>
                <a:headEnd/>
                <a:tailEnd/>
              </a14:hiddenLine>
            </a:ext>
          </a:extLst>
        </xdr:spPr>
      </xdr:sp>
      <xdr:sp macro="" textlink="">
        <xdr:nvSpPr>
          <xdr:cNvPr id="23" name="Rectangle 12">
            <a:extLst>
              <a:ext uri="{FF2B5EF4-FFF2-40B4-BE49-F238E27FC236}">
                <a16:creationId xmlns:a16="http://schemas.microsoft.com/office/drawing/2014/main" id="{00000000-0008-0000-0900-000017000000}"/>
              </a:ext>
            </a:extLst>
          </xdr:cNvPr>
          <xdr:cNvSpPr>
            <a:spLocks noChangeArrowheads="1"/>
          </xdr:cNvSpPr>
        </xdr:nvSpPr>
        <xdr:spPr bwMode="auto">
          <a:xfrm>
            <a:off x="492125" y="789277"/>
            <a:ext cx="8101013" cy="179356"/>
          </a:xfrm>
          <a:prstGeom prst="rect">
            <a:avLst/>
          </a:prstGeom>
          <a:grpFill/>
          <a:ln>
            <a:noFill/>
          </a:ln>
          <a:extLst>
            <a:ext uri="{91240B29-F687-4f45-9708-019B960494DF}">
              <a14:hiddenLine xmlns:a14="http://schemas.microsoft.com/office/drawing/2010/main" xmlns="" w="9525" algn="ctr">
                <a:solidFill>
                  <a:srgbClr val="000000"/>
                </a:solidFill>
                <a:miter lim="800000"/>
                <a:headEnd/>
                <a:tailEnd/>
              </a14:hiddenLine>
            </a:ext>
          </a:extLst>
        </xdr:spPr>
      </xdr:sp>
    </xdr:grpSp>
    <xdr:clientData/>
  </xdr:twoCellAnchor>
  <xdr:twoCellAnchor editAs="oneCell">
    <xdr:from>
      <xdr:col>12</xdr:col>
      <xdr:colOff>552450</xdr:colOff>
      <xdr:row>20</xdr:row>
      <xdr:rowOff>44450</xdr:rowOff>
    </xdr:from>
    <xdr:to>
      <xdr:col>14</xdr:col>
      <xdr:colOff>127000</xdr:colOff>
      <xdr:row>23</xdr:row>
      <xdr:rowOff>69850</xdr:rowOff>
    </xdr:to>
    <xdr:pic>
      <xdr:nvPicPr>
        <xdr:cNvPr id="24" name="Picture 23">
          <a:extLst>
            <a:ext uri="{FF2B5EF4-FFF2-40B4-BE49-F238E27FC236}">
              <a16:creationId xmlns:a16="http://schemas.microsoft.com/office/drawing/2014/main" id="{00000000-0008-0000-09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77250" y="3378200"/>
          <a:ext cx="895350" cy="501650"/>
        </a:xfrm>
        <a:prstGeom prst="rect">
          <a:avLst/>
        </a:prstGeom>
        <a:noFill/>
        <a:extLst>
          <a:ext uri="{909E8E84-426E-40dd-AFC4-6F175D3DCCD1}">
            <a14:hiddenFill xmlns:a14="http://schemas.microsoft.com/office/drawing/2010/main" xmlns="">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4.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5.vml"/><Relationship Id="rId1" Type="http://schemas.openxmlformats.org/officeDocument/2006/relationships/drawing" Target="../drawings/drawing5.xml"/><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7.xml.rels><?xml version="1.0" encoding="UTF-8" standalone="yes"?>
<Relationships xmlns="http://schemas.openxmlformats.org/package/2006/relationships"><Relationship Id="rId8" Type="http://schemas.openxmlformats.org/officeDocument/2006/relationships/vmlDrawing" Target="../drawings/vmlDrawing6.vml"/><Relationship Id="rId3" Type="http://schemas.openxmlformats.org/officeDocument/2006/relationships/hyperlink" Target="https://www.volker-quaschning.de/datserv/CO2-spez/index_e.php" TargetMode="External"/><Relationship Id="rId7" Type="http://schemas.openxmlformats.org/officeDocument/2006/relationships/drawing" Target="../drawings/drawing6.xml"/><Relationship Id="rId2" Type="http://schemas.openxmlformats.org/officeDocument/2006/relationships/hyperlink" Target="https://www.gov.uk/government/collections/government-conversion-factors-for-company-reporting" TargetMode="External"/><Relationship Id="rId1" Type="http://schemas.openxmlformats.org/officeDocument/2006/relationships/hyperlink" Target="https://www.gov.uk/government/collections/government-conversion-factors-for-company-reporting" TargetMode="External"/><Relationship Id="rId6" Type="http://schemas.openxmlformats.org/officeDocument/2006/relationships/hyperlink" Target="https://www.epa.gov/greenvehicles/greenhouse-gas-emissions-typical-passenger-vehicle" TargetMode="External"/><Relationship Id="rId11" Type="http://schemas.openxmlformats.org/officeDocument/2006/relationships/ctrlProp" Target="../ctrlProps/ctrlProp17.xml"/><Relationship Id="rId5" Type="http://schemas.openxmlformats.org/officeDocument/2006/relationships/hyperlink" Target="https://www.gov.uk/government/collections/government-conversion-factors-for-company-reporting" TargetMode="External"/><Relationship Id="rId10" Type="http://schemas.openxmlformats.org/officeDocument/2006/relationships/ctrlProp" Target="../ctrlProps/ctrlProp16.xml"/><Relationship Id="rId4" Type="http://schemas.openxmlformats.org/officeDocument/2006/relationships/hyperlink" Target="http://www.monikie.org.uk/fuel-calorific-values.htm" TargetMode="External"/><Relationship Id="rId9" Type="http://schemas.openxmlformats.org/officeDocument/2006/relationships/ctrlProp" Target="../ctrlProps/ctrlProp1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5.bin"/><Relationship Id="rId5" Type="http://schemas.openxmlformats.org/officeDocument/2006/relationships/ctrlProp" Target="../ctrlProps/ctrlProp19.xml"/><Relationship Id="rId4" Type="http://schemas.openxmlformats.org/officeDocument/2006/relationships/ctrlProp" Target="../ctrlProps/ctrlProp18.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8.vml"/><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1"/>
  </sheetPr>
  <dimension ref="A1:S33"/>
  <sheetViews>
    <sheetView showGridLines="0" view="pageLayout" topLeftCell="I1" zoomScaleNormal="43" workbookViewId="0">
      <selection activeCell="I1" sqref="I1"/>
    </sheetView>
  </sheetViews>
  <sheetFormatPr defaultColWidth="0" defaultRowHeight="13.2" zeroHeight="1" x14ac:dyDescent="0.25"/>
  <cols>
    <col min="1" max="4" width="9.44140625" style="42" customWidth="1"/>
    <col min="5" max="5" width="12.44140625" style="42" customWidth="1"/>
    <col min="6" max="16" width="9.44140625" style="42" customWidth="1"/>
    <col min="17" max="17" width="11.33203125" style="47" customWidth="1"/>
    <col min="18" max="18" width="2.33203125" style="51" customWidth="1"/>
    <col min="19" max="19" width="9.44140625" style="48" hidden="1" customWidth="1"/>
    <col min="20" max="16384" width="9.44140625" style="42" hidden="1"/>
  </cols>
  <sheetData>
    <row r="1" spans="1:18" ht="24.6" x14ac:dyDescent="0.25">
      <c r="A1" s="41" t="str">
        <f ca="1" xml:space="preserve"> RIGHT(CELL("filename", A1), LEN(CELL("filename", A1)) - SEARCH("]", CELL("filename", A1)))</f>
        <v>Cover Sheet</v>
      </c>
      <c r="R1" s="50"/>
    </row>
    <row r="2" spans="1:18" x14ac:dyDescent="0.25"/>
    <row r="3" spans="1:18" x14ac:dyDescent="0.25"/>
    <row r="4" spans="1:18" x14ac:dyDescent="0.25"/>
    <row r="5" spans="1:18" x14ac:dyDescent="0.25"/>
    <row r="6" spans="1:18" x14ac:dyDescent="0.25"/>
    <row r="7" spans="1:18" x14ac:dyDescent="0.25"/>
    <row r="8" spans="1:18" x14ac:dyDescent="0.25"/>
    <row r="9" spans="1:18" x14ac:dyDescent="0.25"/>
    <row r="10" spans="1:18" x14ac:dyDescent="0.25"/>
    <row r="11" spans="1:18" x14ac:dyDescent="0.25"/>
    <row r="12" spans="1:18" x14ac:dyDescent="0.25"/>
    <row r="13" spans="1:18" x14ac:dyDescent="0.25"/>
    <row r="14" spans="1:18" x14ac:dyDescent="0.25"/>
    <row r="15" spans="1:18" x14ac:dyDescent="0.25"/>
    <row r="16" spans="1:18" x14ac:dyDescent="0.25"/>
    <row r="17" spans="4:19" x14ac:dyDescent="0.25"/>
    <row r="18" spans="4:19" x14ac:dyDescent="0.25"/>
    <row r="19" spans="4:19" x14ac:dyDescent="0.25"/>
    <row r="20" spans="4:19" x14ac:dyDescent="0.25"/>
    <row r="21" spans="4:19" x14ac:dyDescent="0.25"/>
    <row r="22" spans="4:19" x14ac:dyDescent="0.25"/>
    <row r="23" spans="4:19" x14ac:dyDescent="0.25"/>
    <row r="24" spans="4:19" x14ac:dyDescent="0.25"/>
    <row r="25" spans="4:19" x14ac:dyDescent="0.25"/>
    <row r="26" spans="4:19" x14ac:dyDescent="0.25">
      <c r="D26" s="43" t="s">
        <v>251</v>
      </c>
      <c r="E26" s="42" t="s">
        <v>252</v>
      </c>
    </row>
    <row r="27" spans="4:19" x14ac:dyDescent="0.25"/>
    <row r="28" spans="4:19" x14ac:dyDescent="0.25"/>
    <row r="29" spans="4:19" x14ac:dyDescent="0.25"/>
    <row r="30" spans="4:19" x14ac:dyDescent="0.25"/>
    <row r="31" spans="4:19" s="57" customFormat="1" ht="13.8" thickBot="1" x14ac:dyDescent="0.3">
      <c r="Q31" s="58"/>
      <c r="R31" s="51"/>
      <c r="S31" s="59"/>
    </row>
    <row r="32" spans="4:19" s="79" customFormat="1" ht="13.8" thickBot="1" x14ac:dyDescent="0.3"/>
    <row r="33" spans="17:19" s="46" customFormat="1" hidden="1" x14ac:dyDescent="0.25">
      <c r="Q33" s="60"/>
      <c r="R33" s="51"/>
      <c r="S33" s="61"/>
    </row>
  </sheetData>
  <phoneticPr fontId="27"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CoverSheetNext">
                <anchor moveWithCells="1" sizeWithCells="1">
                  <from>
                    <xdr:col>13</xdr:col>
                    <xdr:colOff>251460</xdr:colOff>
                    <xdr:row>26</xdr:row>
                    <xdr:rowOff>114300</xdr:rowOff>
                  </from>
                  <to>
                    <xdr:col>16</xdr:col>
                    <xdr:colOff>251460</xdr:colOff>
                    <xdr:row>30</xdr:row>
                    <xdr:rowOff>22860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V37"/>
  <sheetViews>
    <sheetView showGridLines="0" view="pageLayout" topLeftCell="A12" zoomScaleNormal="50" workbookViewId="0">
      <selection activeCell="H20" sqref="H20"/>
    </sheetView>
  </sheetViews>
  <sheetFormatPr defaultColWidth="8.77734375" defaultRowHeight="14.4" x14ac:dyDescent="0.3"/>
  <cols>
    <col min="1" max="4" width="1.44140625" customWidth="1"/>
    <col min="22" max="22" width="9.33203125" customWidth="1"/>
  </cols>
  <sheetData>
    <row r="1" spans="1:22" ht="25.8" x14ac:dyDescent="0.3">
      <c r="A1" s="6" t="str">
        <f ca="1">MID(CELL("filename",A1),FIND("]",CELL("filename",A1))+1,255)</f>
        <v>Notes</v>
      </c>
    </row>
    <row r="4" spans="1:22" x14ac:dyDescent="0.3">
      <c r="C4" s="128" t="s">
        <v>302</v>
      </c>
    </row>
    <row r="5" spans="1:22" x14ac:dyDescent="0.3">
      <c r="E5" s="167" t="s">
        <v>303</v>
      </c>
      <c r="F5" s="167"/>
      <c r="G5" s="167"/>
      <c r="H5" s="167"/>
      <c r="I5" s="167"/>
      <c r="J5" s="167"/>
      <c r="K5" s="167"/>
      <c r="L5" s="167"/>
      <c r="M5" s="167"/>
      <c r="N5" s="167"/>
      <c r="O5" s="167"/>
      <c r="P5" s="167"/>
      <c r="Q5" s="167"/>
      <c r="R5" s="167"/>
      <c r="S5" s="167"/>
      <c r="T5" s="167"/>
      <c r="U5" s="167"/>
      <c r="V5" s="167"/>
    </row>
    <row r="6" spans="1:22" x14ac:dyDescent="0.3">
      <c r="E6" s="167"/>
      <c r="F6" s="167"/>
      <c r="G6" s="167"/>
      <c r="H6" s="167"/>
      <c r="I6" s="167"/>
      <c r="J6" s="167"/>
      <c r="K6" s="167"/>
      <c r="L6" s="167"/>
      <c r="M6" s="167"/>
      <c r="N6" s="167"/>
      <c r="O6" s="167"/>
      <c r="P6" s="167"/>
      <c r="Q6" s="167"/>
      <c r="R6" s="167"/>
      <c r="S6" s="167"/>
      <c r="T6" s="167"/>
      <c r="U6" s="167"/>
      <c r="V6" s="167"/>
    </row>
    <row r="7" spans="1:22" x14ac:dyDescent="0.3">
      <c r="E7" s="167"/>
      <c r="F7" s="167"/>
      <c r="G7" s="167"/>
      <c r="H7" s="167"/>
      <c r="I7" s="167"/>
      <c r="J7" s="167"/>
      <c r="K7" s="167"/>
      <c r="L7" s="167"/>
      <c r="M7" s="167"/>
      <c r="N7" s="167"/>
      <c r="O7" s="167"/>
      <c r="P7" s="167"/>
      <c r="Q7" s="167"/>
      <c r="R7" s="167"/>
      <c r="S7" s="167"/>
      <c r="T7" s="167"/>
      <c r="U7" s="167"/>
      <c r="V7" s="167"/>
    </row>
    <row r="8" spans="1:22" x14ac:dyDescent="0.3">
      <c r="E8" s="167"/>
      <c r="F8" s="167"/>
      <c r="G8" s="167"/>
      <c r="H8" s="167"/>
      <c r="I8" s="167"/>
      <c r="J8" s="167"/>
      <c r="K8" s="167"/>
      <c r="L8" s="167"/>
      <c r="M8" s="167"/>
      <c r="N8" s="167"/>
      <c r="O8" s="167"/>
      <c r="P8" s="167"/>
      <c r="Q8" s="167"/>
      <c r="R8" s="167"/>
      <c r="S8" s="167"/>
      <c r="T8" s="167"/>
      <c r="U8" s="167"/>
      <c r="V8" s="167"/>
    </row>
    <row r="9" spans="1:22" x14ac:dyDescent="0.3">
      <c r="E9" s="167"/>
      <c r="F9" s="167"/>
      <c r="G9" s="167"/>
      <c r="H9" s="167"/>
      <c r="I9" s="167"/>
      <c r="J9" s="167"/>
      <c r="K9" s="167"/>
      <c r="L9" s="167"/>
      <c r="M9" s="167"/>
      <c r="N9" s="167"/>
      <c r="O9" s="167"/>
      <c r="P9" s="167"/>
      <c r="Q9" s="167"/>
      <c r="R9" s="167"/>
      <c r="S9" s="167"/>
      <c r="T9" s="167"/>
      <c r="U9" s="167"/>
      <c r="V9" s="167"/>
    </row>
    <row r="10" spans="1:22" ht="13.5" customHeight="1" x14ac:dyDescent="0.3">
      <c r="E10" s="167"/>
      <c r="F10" s="167"/>
      <c r="G10" s="167"/>
      <c r="H10" s="167"/>
      <c r="I10" s="167"/>
      <c r="J10" s="167"/>
      <c r="K10" s="167"/>
      <c r="L10" s="167"/>
      <c r="M10" s="167"/>
      <c r="N10" s="167"/>
      <c r="O10" s="167"/>
      <c r="P10" s="167"/>
      <c r="Q10" s="167"/>
      <c r="R10" s="167"/>
      <c r="S10" s="167"/>
      <c r="T10" s="167"/>
      <c r="U10" s="167"/>
      <c r="V10" s="167"/>
    </row>
    <row r="13" spans="1:22" x14ac:dyDescent="0.3">
      <c r="C13" s="128" t="s">
        <v>301</v>
      </c>
    </row>
    <row r="14" spans="1:22" x14ac:dyDescent="0.3">
      <c r="E14" s="167" t="s">
        <v>305</v>
      </c>
      <c r="F14" s="167"/>
      <c r="G14" s="167"/>
      <c r="H14" s="167"/>
      <c r="I14" s="167"/>
      <c r="J14" s="167"/>
      <c r="K14" s="167"/>
      <c r="L14" s="167"/>
      <c r="M14" s="167"/>
      <c r="N14" s="167"/>
      <c r="O14" s="167"/>
      <c r="P14" s="167"/>
      <c r="Q14" s="167"/>
      <c r="R14" s="167"/>
      <c r="S14" s="167"/>
      <c r="T14" s="167"/>
      <c r="U14" s="167"/>
      <c r="V14" s="167"/>
    </row>
    <row r="15" spans="1:22" x14ac:dyDescent="0.3">
      <c r="E15" s="167"/>
      <c r="F15" s="167"/>
      <c r="G15" s="167"/>
      <c r="H15" s="167"/>
      <c r="I15" s="167"/>
      <c r="J15" s="167"/>
      <c r="K15" s="167"/>
      <c r="L15" s="167"/>
      <c r="M15" s="167"/>
      <c r="N15" s="167"/>
      <c r="O15" s="167"/>
      <c r="P15" s="167"/>
      <c r="Q15" s="167"/>
      <c r="R15" s="167"/>
      <c r="S15" s="167"/>
      <c r="T15" s="167"/>
      <c r="U15" s="167"/>
      <c r="V15" s="167"/>
    </row>
    <row r="16" spans="1:22" x14ac:dyDescent="0.3">
      <c r="E16" s="167"/>
      <c r="F16" s="167"/>
      <c r="G16" s="167"/>
      <c r="H16" s="167"/>
      <c r="I16" s="167"/>
      <c r="J16" s="167"/>
      <c r="K16" s="167"/>
      <c r="L16" s="167"/>
      <c r="M16" s="167"/>
      <c r="N16" s="167"/>
      <c r="O16" s="167"/>
      <c r="P16" s="167"/>
      <c r="Q16" s="167"/>
      <c r="R16" s="167"/>
      <c r="S16" s="167"/>
      <c r="T16" s="167"/>
      <c r="U16" s="167"/>
      <c r="V16" s="167"/>
    </row>
    <row r="17" spans="3:22" x14ac:dyDescent="0.3">
      <c r="E17" s="167"/>
      <c r="F17" s="167"/>
      <c r="G17" s="167"/>
      <c r="H17" s="167"/>
      <c r="I17" s="167"/>
      <c r="J17" s="167"/>
      <c r="K17" s="167"/>
      <c r="L17" s="167"/>
      <c r="M17" s="167"/>
      <c r="N17" s="167"/>
      <c r="O17" s="167"/>
      <c r="P17" s="167"/>
      <c r="Q17" s="167"/>
      <c r="R17" s="167"/>
      <c r="S17" s="167"/>
      <c r="T17" s="167"/>
      <c r="U17" s="167"/>
      <c r="V17" s="167"/>
    </row>
    <row r="18" spans="3:22" x14ac:dyDescent="0.3">
      <c r="E18" s="167"/>
      <c r="F18" s="167"/>
      <c r="G18" s="167"/>
      <c r="H18" s="167"/>
      <c r="I18" s="167"/>
      <c r="J18" s="167"/>
      <c r="K18" s="167"/>
      <c r="L18" s="167"/>
      <c r="M18" s="167"/>
      <c r="N18" s="167"/>
      <c r="O18" s="167"/>
      <c r="P18" s="167"/>
      <c r="Q18" s="167"/>
      <c r="R18" s="167"/>
      <c r="S18" s="167"/>
      <c r="T18" s="167"/>
      <c r="U18" s="167"/>
      <c r="V18" s="167"/>
    </row>
    <row r="19" spans="3:22" ht="13.5" customHeight="1" x14ac:dyDescent="0.3">
      <c r="E19" s="167"/>
      <c r="F19" s="167"/>
      <c r="G19" s="167"/>
      <c r="H19" s="167"/>
      <c r="I19" s="167"/>
      <c r="J19" s="167"/>
      <c r="K19" s="167"/>
      <c r="L19" s="167"/>
      <c r="M19" s="167"/>
      <c r="N19" s="167"/>
      <c r="O19" s="167"/>
      <c r="P19" s="167"/>
      <c r="Q19" s="167"/>
      <c r="R19" s="167"/>
      <c r="S19" s="167"/>
      <c r="T19" s="167"/>
      <c r="U19" s="167"/>
      <c r="V19" s="167"/>
    </row>
    <row r="22" spans="3:22" x14ac:dyDescent="0.3">
      <c r="C22" s="128" t="s">
        <v>304</v>
      </c>
    </row>
    <row r="23" spans="3:22" x14ac:dyDescent="0.3">
      <c r="E23" s="167" t="s">
        <v>308</v>
      </c>
      <c r="F23" s="167"/>
      <c r="G23" s="167"/>
      <c r="H23" s="167"/>
      <c r="I23" s="167"/>
      <c r="J23" s="167"/>
      <c r="K23" s="167"/>
      <c r="L23" s="167"/>
      <c r="M23" s="167"/>
      <c r="N23" s="167"/>
      <c r="O23" s="167"/>
      <c r="P23" s="167"/>
      <c r="Q23" s="167"/>
      <c r="R23" s="167"/>
      <c r="S23" s="167"/>
      <c r="T23" s="167"/>
      <c r="U23" s="167"/>
      <c r="V23" s="167"/>
    </row>
    <row r="24" spans="3:22" x14ac:dyDescent="0.3">
      <c r="E24" s="167"/>
      <c r="F24" s="167"/>
      <c r="G24" s="167"/>
      <c r="H24" s="167"/>
      <c r="I24" s="167"/>
      <c r="J24" s="167"/>
      <c r="K24" s="167"/>
      <c r="L24" s="167"/>
      <c r="M24" s="167"/>
      <c r="N24" s="167"/>
      <c r="O24" s="167"/>
      <c r="P24" s="167"/>
      <c r="Q24" s="167"/>
      <c r="R24" s="167"/>
      <c r="S24" s="167"/>
      <c r="T24" s="167"/>
      <c r="U24" s="167"/>
      <c r="V24" s="167"/>
    </row>
    <row r="25" spans="3:22" x14ac:dyDescent="0.3">
      <c r="E25" s="167"/>
      <c r="F25" s="167"/>
      <c r="G25" s="167"/>
      <c r="H25" s="167"/>
      <c r="I25" s="167"/>
      <c r="J25" s="167"/>
      <c r="K25" s="167"/>
      <c r="L25" s="167"/>
      <c r="M25" s="167"/>
      <c r="N25" s="167"/>
      <c r="O25" s="167"/>
      <c r="P25" s="167"/>
      <c r="Q25" s="167"/>
      <c r="R25" s="167"/>
      <c r="S25" s="167"/>
      <c r="T25" s="167"/>
      <c r="U25" s="167"/>
      <c r="V25" s="167"/>
    </row>
    <row r="26" spans="3:22" x14ac:dyDescent="0.3">
      <c r="E26" s="167"/>
      <c r="F26" s="167"/>
      <c r="G26" s="167"/>
      <c r="H26" s="167"/>
      <c r="I26" s="167"/>
      <c r="J26" s="167"/>
      <c r="K26" s="167"/>
      <c r="L26" s="167"/>
      <c r="M26" s="167"/>
      <c r="N26" s="167"/>
      <c r="O26" s="167"/>
      <c r="P26" s="167"/>
      <c r="Q26" s="167"/>
      <c r="R26" s="167"/>
      <c r="S26" s="167"/>
      <c r="T26" s="167"/>
      <c r="U26" s="167"/>
      <c r="V26" s="167"/>
    </row>
    <row r="27" spans="3:22" x14ac:dyDescent="0.3">
      <c r="E27" s="167"/>
      <c r="F27" s="167"/>
      <c r="G27" s="167"/>
      <c r="H27" s="167"/>
      <c r="I27" s="167"/>
      <c r="J27" s="167"/>
      <c r="K27" s="167"/>
      <c r="L27" s="167"/>
      <c r="M27" s="167"/>
      <c r="N27" s="167"/>
      <c r="O27" s="167"/>
      <c r="P27" s="167"/>
      <c r="Q27" s="167"/>
      <c r="R27" s="167"/>
      <c r="S27" s="167"/>
      <c r="T27" s="167"/>
      <c r="U27" s="167"/>
      <c r="V27" s="167"/>
    </row>
    <row r="28" spans="3:22" ht="13.5" customHeight="1" x14ac:dyDescent="0.3">
      <c r="E28" s="167"/>
      <c r="F28" s="167"/>
      <c r="G28" s="167"/>
      <c r="H28" s="167"/>
      <c r="I28" s="167"/>
      <c r="J28" s="167"/>
      <c r="K28" s="167"/>
      <c r="L28" s="167"/>
      <c r="M28" s="167"/>
      <c r="N28" s="167"/>
      <c r="O28" s="167"/>
      <c r="P28" s="167"/>
      <c r="Q28" s="167"/>
      <c r="R28" s="167"/>
      <c r="S28" s="167"/>
      <c r="T28" s="167"/>
      <c r="U28" s="167"/>
      <c r="V28" s="167"/>
    </row>
    <row r="31" spans="3:22" x14ac:dyDescent="0.3">
      <c r="C31" s="128" t="s">
        <v>309</v>
      </c>
    </row>
    <row r="32" spans="3:22" x14ac:dyDescent="0.3">
      <c r="E32" s="167" t="s">
        <v>310</v>
      </c>
      <c r="F32" s="167"/>
      <c r="G32" s="167"/>
      <c r="H32" s="167"/>
      <c r="I32" s="167"/>
      <c r="J32" s="167"/>
      <c r="K32" s="167"/>
      <c r="L32" s="167"/>
      <c r="M32" s="167"/>
      <c r="N32" s="167"/>
      <c r="O32" s="167"/>
      <c r="P32" s="167"/>
      <c r="Q32" s="167"/>
      <c r="R32" s="167"/>
      <c r="S32" s="167"/>
      <c r="T32" s="167"/>
      <c r="U32" s="167"/>
      <c r="V32" s="167"/>
    </row>
    <row r="33" spans="5:22" x14ac:dyDescent="0.3">
      <c r="E33" s="167"/>
      <c r="F33" s="167"/>
      <c r="G33" s="167"/>
      <c r="H33" s="167"/>
      <c r="I33" s="167"/>
      <c r="J33" s="167"/>
      <c r="K33" s="167"/>
      <c r="L33" s="167"/>
      <c r="M33" s="167"/>
      <c r="N33" s="167"/>
      <c r="O33" s="167"/>
      <c r="P33" s="167"/>
      <c r="Q33" s="167"/>
      <c r="R33" s="167"/>
      <c r="S33" s="167"/>
      <c r="T33" s="167"/>
      <c r="U33" s="167"/>
      <c r="V33" s="167"/>
    </row>
    <row r="34" spans="5:22" x14ac:dyDescent="0.3">
      <c r="E34" s="167"/>
      <c r="F34" s="167"/>
      <c r="G34" s="167"/>
      <c r="H34" s="167"/>
      <c r="I34" s="167"/>
      <c r="J34" s="167"/>
      <c r="K34" s="167"/>
      <c r="L34" s="167"/>
      <c r="M34" s="167"/>
      <c r="N34" s="167"/>
      <c r="O34" s="167"/>
      <c r="P34" s="167"/>
      <c r="Q34" s="167"/>
      <c r="R34" s="167"/>
      <c r="S34" s="167"/>
      <c r="T34" s="167"/>
      <c r="U34" s="167"/>
      <c r="V34" s="167"/>
    </row>
    <row r="35" spans="5:22" x14ac:dyDescent="0.3">
      <c r="E35" s="167"/>
      <c r="F35" s="167"/>
      <c r="G35" s="167"/>
      <c r="H35" s="167"/>
      <c r="I35" s="167"/>
      <c r="J35" s="167"/>
      <c r="K35" s="167"/>
      <c r="L35" s="167"/>
      <c r="M35" s="167"/>
      <c r="N35" s="167"/>
      <c r="O35" s="167"/>
      <c r="P35" s="167"/>
      <c r="Q35" s="167"/>
      <c r="R35" s="167"/>
      <c r="S35" s="167"/>
      <c r="T35" s="167"/>
      <c r="U35" s="167"/>
      <c r="V35" s="167"/>
    </row>
    <row r="36" spans="5:22" x14ac:dyDescent="0.3">
      <c r="E36" s="167"/>
      <c r="F36" s="167"/>
      <c r="G36" s="167"/>
      <c r="H36" s="167"/>
      <c r="I36" s="167"/>
      <c r="J36" s="167"/>
      <c r="K36" s="167"/>
      <c r="L36" s="167"/>
      <c r="M36" s="167"/>
      <c r="N36" s="167"/>
      <c r="O36" s="167"/>
      <c r="P36" s="167"/>
      <c r="Q36" s="167"/>
      <c r="R36" s="167"/>
      <c r="S36" s="167"/>
      <c r="T36" s="167"/>
      <c r="U36" s="167"/>
      <c r="V36" s="167"/>
    </row>
    <row r="37" spans="5:22" ht="13.5" customHeight="1" x14ac:dyDescent="0.3">
      <c r="E37" s="167"/>
      <c r="F37" s="167"/>
      <c r="G37" s="167"/>
      <c r="H37" s="167"/>
      <c r="I37" s="167"/>
      <c r="J37" s="167"/>
      <c r="K37" s="167"/>
      <c r="L37" s="167"/>
      <c r="M37" s="167"/>
      <c r="N37" s="167"/>
      <c r="O37" s="167"/>
      <c r="P37" s="167"/>
      <c r="Q37" s="167"/>
      <c r="R37" s="167"/>
      <c r="S37" s="167"/>
      <c r="T37" s="167"/>
      <c r="U37" s="167"/>
      <c r="V37" s="167"/>
    </row>
  </sheetData>
  <mergeCells count="4">
    <mergeCell ref="E5:V10"/>
    <mergeCell ref="E14:V19"/>
    <mergeCell ref="E23:V28"/>
    <mergeCell ref="E32:V37"/>
  </mergeCells>
  <phoneticPr fontId="27" type="noConversion"/>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3"/>
  </sheetPr>
  <dimension ref="A1:R51"/>
  <sheetViews>
    <sheetView showGridLines="0" view="pageLayout" topLeftCell="C11" workbookViewId="0">
      <selection activeCell="F39" sqref="F39"/>
    </sheetView>
  </sheetViews>
  <sheetFormatPr defaultColWidth="0" defaultRowHeight="13.2" zeroHeight="1" x14ac:dyDescent="0.25"/>
  <cols>
    <col min="1" max="5" width="9.44140625" style="42" customWidth="1"/>
    <col min="6" max="6" width="20.6640625" style="42" customWidth="1"/>
    <col min="7" max="7" width="18.33203125" style="42" customWidth="1"/>
    <col min="8" max="8" width="5.33203125" style="42" customWidth="1"/>
    <col min="9" max="9" width="4.33203125" style="42" customWidth="1"/>
    <col min="10" max="11" width="5.44140625" style="42" customWidth="1"/>
    <col min="12" max="15" width="9.44140625" style="42" customWidth="1"/>
    <col min="16" max="16" width="9.44140625" style="47" customWidth="1"/>
    <col min="17" max="17" width="1.44140625" style="54" customWidth="1"/>
    <col min="18" max="18" width="9.33203125" style="48" hidden="1" customWidth="1"/>
    <col min="19" max="16384" width="9.33203125" style="42" hidden="1"/>
  </cols>
  <sheetData>
    <row r="1" spans="1:17" ht="24.6" x14ac:dyDescent="0.25">
      <c r="A1" s="41" t="str">
        <f ca="1" xml:space="preserve"> RIGHT(CELL("filename", A1), LEN(CELL("filename", A1)) - SEARCH("]", CELL("filename", A1)))</f>
        <v>Inputs&gt;&gt;</v>
      </c>
      <c r="Q1" s="53"/>
    </row>
    <row r="2" spans="1:17" x14ac:dyDescent="0.25"/>
    <row r="3" spans="1:17" x14ac:dyDescent="0.25"/>
    <row r="4" spans="1:17" x14ac:dyDescent="0.25"/>
    <row r="5" spans="1:17" x14ac:dyDescent="0.25"/>
    <row r="6" spans="1:17" x14ac:dyDescent="0.25"/>
    <row r="7" spans="1:17" x14ac:dyDescent="0.25"/>
    <row r="8" spans="1:17" x14ac:dyDescent="0.25"/>
    <row r="9" spans="1:17" x14ac:dyDescent="0.25"/>
    <row r="10" spans="1:17" x14ac:dyDescent="0.25"/>
    <row r="11" spans="1:17" x14ac:dyDescent="0.25"/>
    <row r="12" spans="1:17" x14ac:dyDescent="0.25"/>
    <row r="13" spans="1:17" x14ac:dyDescent="0.25"/>
    <row r="14" spans="1:17" x14ac:dyDescent="0.25"/>
    <row r="15" spans="1:17" x14ac:dyDescent="0.25"/>
    <row r="16" spans="1:17" x14ac:dyDescent="0.25"/>
    <row r="17" spans="4:8" x14ac:dyDescent="0.25"/>
    <row r="18" spans="4:8" x14ac:dyDescent="0.25"/>
    <row r="19" spans="4:8" x14ac:dyDescent="0.25"/>
    <row r="20" spans="4:8" x14ac:dyDescent="0.25"/>
    <row r="21" spans="4:8" x14ac:dyDescent="0.25"/>
    <row r="22" spans="4:8" x14ac:dyDescent="0.25"/>
    <row r="23" spans="4:8" x14ac:dyDescent="0.25"/>
    <row r="24" spans="4:8" x14ac:dyDescent="0.25"/>
    <row r="25" spans="4:8" x14ac:dyDescent="0.25"/>
    <row r="26" spans="4:8" x14ac:dyDescent="0.25"/>
    <row r="27" spans="4:8" ht="23.4" thickBot="1" x14ac:dyDescent="0.45">
      <c r="D27" s="43"/>
      <c r="G27" s="123" t="s">
        <v>258</v>
      </c>
      <c r="H27" s="45"/>
    </row>
    <row r="28" spans="4:8" ht="13.8" thickTop="1" x14ac:dyDescent="0.25">
      <c r="G28" s="46"/>
    </row>
    <row r="29" spans="4:8" x14ac:dyDescent="0.25"/>
    <row r="30" spans="4:8" x14ac:dyDescent="0.25"/>
    <row r="31" spans="4:8" x14ac:dyDescent="0.25"/>
    <row r="32" spans="4:8" x14ac:dyDescent="0.25"/>
    <row r="33" spans="7:18" x14ac:dyDescent="0.25"/>
    <row r="34" spans="7:18" x14ac:dyDescent="0.25"/>
    <row r="35" spans="7:18" x14ac:dyDescent="0.25"/>
    <row r="36" spans="7:18" x14ac:dyDescent="0.25"/>
    <row r="37" spans="7:18" x14ac:dyDescent="0.25">
      <c r="G37" s="49"/>
      <c r="H37" s="48"/>
    </row>
    <row r="38" spans="7:18" x14ac:dyDescent="0.25">
      <c r="G38" s="46"/>
    </row>
    <row r="39" spans="7:18" x14ac:dyDescent="0.25"/>
    <row r="40" spans="7:18" x14ac:dyDescent="0.25"/>
    <row r="41" spans="7:18" s="57" customFormat="1" x14ac:dyDescent="0.25">
      <c r="P41" s="58"/>
      <c r="Q41" s="54"/>
      <c r="R41" s="59"/>
    </row>
    <row r="42" spans="7:18" s="57" customFormat="1" x14ac:dyDescent="0.25">
      <c r="P42" s="58"/>
      <c r="Q42" s="54"/>
      <c r="R42" s="59"/>
    </row>
    <row r="43" spans="7:18" s="57" customFormat="1" x14ac:dyDescent="0.25">
      <c r="G43" s="122" t="s">
        <v>298</v>
      </c>
      <c r="P43" s="58"/>
      <c r="Q43" s="54"/>
      <c r="R43" s="59"/>
    </row>
    <row r="44" spans="7:18" s="57" customFormat="1" x14ac:dyDescent="0.25">
      <c r="P44" s="58"/>
      <c r="Q44" s="54"/>
      <c r="R44" s="59"/>
    </row>
    <row r="45" spans="7:18" s="57" customFormat="1" x14ac:dyDescent="0.25">
      <c r="P45" s="58"/>
      <c r="Q45" s="54"/>
      <c r="R45" s="59"/>
    </row>
    <row r="46" spans="7:18" s="57" customFormat="1" x14ac:dyDescent="0.25">
      <c r="P46" s="58"/>
      <c r="Q46" s="54"/>
      <c r="R46" s="59"/>
    </row>
    <row r="47" spans="7:18" s="57" customFormat="1" x14ac:dyDescent="0.25">
      <c r="P47" s="58"/>
      <c r="Q47" s="54"/>
      <c r="R47" s="59"/>
    </row>
    <row r="48" spans="7:18" s="62" customFormat="1" x14ac:dyDescent="0.25"/>
    <row r="49" spans="1:18" s="46" customFormat="1" hidden="1" x14ac:dyDescent="0.25">
      <c r="P49" s="60"/>
      <c r="Q49" s="54"/>
      <c r="R49" s="61"/>
    </row>
    <row r="51" spans="1:18" hidden="1" x14ac:dyDescent="0.25">
      <c r="A51" s="42" t="s">
        <v>259</v>
      </c>
    </row>
  </sheetData>
  <phoneticPr fontId="27" type="noConversion"/>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Togeneral">
                <anchor moveWithCells="1" sizeWithCells="1">
                  <from>
                    <xdr:col>5</xdr:col>
                    <xdr:colOff>533400</xdr:colOff>
                    <xdr:row>27</xdr:row>
                    <xdr:rowOff>76200</xdr:rowOff>
                  </from>
                  <to>
                    <xdr:col>9</xdr:col>
                    <xdr:colOff>99060</xdr:colOff>
                    <xdr:row>29</xdr:row>
                    <xdr:rowOff>99060</xdr:rowOff>
                  </to>
                </anchor>
              </controlPr>
            </control>
          </mc:Choice>
        </mc:AlternateContent>
        <mc:AlternateContent xmlns:mc="http://schemas.openxmlformats.org/markup-compatibility/2006">
          <mc:Choice Requires="x14">
            <control shapeId="2050" r:id="rId5" name="Button 2">
              <controlPr defaultSize="0" print="0" autoFill="0" autoPict="0" macro="[0]!ToPlantExpenditure">
                <anchor moveWithCells="1" sizeWithCells="1">
                  <from>
                    <xdr:col>5</xdr:col>
                    <xdr:colOff>518160</xdr:colOff>
                    <xdr:row>30</xdr:row>
                    <xdr:rowOff>137160</xdr:rowOff>
                  </from>
                  <to>
                    <xdr:col>9</xdr:col>
                    <xdr:colOff>99060</xdr:colOff>
                    <xdr:row>33</xdr:row>
                    <xdr:rowOff>22860</xdr:rowOff>
                  </to>
                </anchor>
              </controlPr>
            </control>
          </mc:Choice>
        </mc:AlternateContent>
        <mc:AlternateContent xmlns:mc="http://schemas.openxmlformats.org/markup-compatibility/2006">
          <mc:Choice Requires="x14">
            <control shapeId="2051" r:id="rId6" name="Button 3">
              <controlPr defaultSize="0" print="0" autoFill="0" autoPict="0" macro="[0]!ToRevenue">
                <anchor moveWithCells="1" sizeWithCells="1">
                  <from>
                    <xdr:col>5</xdr:col>
                    <xdr:colOff>518160</xdr:colOff>
                    <xdr:row>34</xdr:row>
                    <xdr:rowOff>60960</xdr:rowOff>
                  </from>
                  <to>
                    <xdr:col>9</xdr:col>
                    <xdr:colOff>60960</xdr:colOff>
                    <xdr:row>36</xdr:row>
                    <xdr:rowOff>99060</xdr:rowOff>
                  </to>
                </anchor>
              </controlPr>
            </control>
          </mc:Choice>
        </mc:AlternateContent>
        <mc:AlternateContent xmlns:mc="http://schemas.openxmlformats.org/markup-compatibility/2006">
          <mc:Choice Requires="x14">
            <control shapeId="2052" r:id="rId7" name="Button 4">
              <controlPr defaultSize="0" print="0" autoFill="0" autoPict="0" macro="[0]!ToCarbon">
                <anchor moveWithCells="1" sizeWithCells="1">
                  <from>
                    <xdr:col>5</xdr:col>
                    <xdr:colOff>495300</xdr:colOff>
                    <xdr:row>37</xdr:row>
                    <xdr:rowOff>137160</xdr:rowOff>
                  </from>
                  <to>
                    <xdr:col>9</xdr:col>
                    <xdr:colOff>60960</xdr:colOff>
                    <xdr:row>39</xdr:row>
                    <xdr:rowOff>152400</xdr:rowOff>
                  </to>
                </anchor>
              </controlPr>
            </control>
          </mc:Choice>
        </mc:AlternateContent>
        <mc:AlternateContent xmlns:mc="http://schemas.openxmlformats.org/markup-compatibility/2006">
          <mc:Choice Requires="x14">
            <control shapeId="2053" r:id="rId8" name="Button 5">
              <controlPr defaultSize="0" print="0" autoFill="0" autoPict="0" macro="[0]!ToResults">
                <anchor moveWithCells="1" sizeWithCells="1">
                  <from>
                    <xdr:col>5</xdr:col>
                    <xdr:colOff>518160</xdr:colOff>
                    <xdr:row>43</xdr:row>
                    <xdr:rowOff>60960</xdr:rowOff>
                  </from>
                  <to>
                    <xdr:col>9</xdr:col>
                    <xdr:colOff>22860</xdr:colOff>
                    <xdr:row>45</xdr:row>
                    <xdr:rowOff>99060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rgb="FF00B0F0"/>
  </sheetPr>
  <dimension ref="A1:L50"/>
  <sheetViews>
    <sheetView showGridLines="0" tabSelected="1" view="pageLayout" zoomScaleNormal="60" workbookViewId="0">
      <selection activeCell="E18" sqref="E18"/>
    </sheetView>
  </sheetViews>
  <sheetFormatPr defaultColWidth="0" defaultRowHeight="14.4" zeroHeight="1" x14ac:dyDescent="0.3"/>
  <cols>
    <col min="1" max="4" width="2.33203125" style="7" customWidth="1"/>
    <col min="5" max="5" width="66.6640625" style="7" bestFit="1" customWidth="1"/>
    <col min="6" max="6" width="32.6640625" style="7" customWidth="1"/>
    <col min="7" max="7" width="34.44140625" style="7" customWidth="1"/>
    <col min="8" max="8" width="9.33203125" style="7" customWidth="1"/>
    <col min="9" max="9" width="65.6640625" style="7" bestFit="1" customWidth="1"/>
    <col min="10" max="10" width="9.33203125" style="7" customWidth="1"/>
    <col min="11" max="11" width="42.33203125" style="7" customWidth="1"/>
    <col min="12" max="12" width="3.6640625" style="7" customWidth="1"/>
    <col min="13" max="16384" width="9.33203125" style="70" hidden="1"/>
  </cols>
  <sheetData>
    <row r="1" spans="1:12" ht="25.8" x14ac:dyDescent="0.3">
      <c r="A1" s="6" t="str">
        <f ca="1">MID(CELL("filename",A1),FIND("]",CELL("filename",A1))+1,255)</f>
        <v>General</v>
      </c>
    </row>
    <row r="2" spans="1:12" x14ac:dyDescent="0.3"/>
    <row r="3" spans="1:12" x14ac:dyDescent="0.3"/>
    <row r="4" spans="1:12" x14ac:dyDescent="0.3"/>
    <row r="5" spans="1:12" s="71" customFormat="1" x14ac:dyDescent="0.3">
      <c r="A5" s="63"/>
      <c r="B5" s="63"/>
      <c r="C5" s="63"/>
      <c r="D5" s="64" t="s">
        <v>21</v>
      </c>
      <c r="E5" s="63"/>
      <c r="F5" s="63"/>
      <c r="G5" s="63"/>
      <c r="H5" s="63"/>
      <c r="I5" s="63"/>
      <c r="J5" s="63"/>
      <c r="K5" s="63"/>
      <c r="L5" s="63"/>
    </row>
    <row r="6" spans="1:12" x14ac:dyDescent="0.3">
      <c r="D6" s="5"/>
      <c r="G6" s="5" t="s">
        <v>25</v>
      </c>
      <c r="I6" s="5" t="s">
        <v>28</v>
      </c>
      <c r="K6" s="5" t="s">
        <v>29</v>
      </c>
    </row>
    <row r="7" spans="1:12" x14ac:dyDescent="0.3">
      <c r="E7" s="7" t="s">
        <v>3</v>
      </c>
      <c r="F7" s="8" t="s">
        <v>191</v>
      </c>
      <c r="I7" s="9" t="s">
        <v>260</v>
      </c>
      <c r="K7" s="9"/>
    </row>
    <row r="8" spans="1:12" x14ac:dyDescent="0.3">
      <c r="E8" s="7" t="s">
        <v>282</v>
      </c>
      <c r="F8" s="8" t="s">
        <v>192</v>
      </c>
      <c r="I8" s="9" t="s">
        <v>260</v>
      </c>
      <c r="K8" s="9"/>
    </row>
    <row r="9" spans="1:12" x14ac:dyDescent="0.3">
      <c r="E9" s="7" t="s">
        <v>4</v>
      </c>
      <c r="F9" s="8" t="s">
        <v>193</v>
      </c>
      <c r="I9" s="9" t="s">
        <v>260</v>
      </c>
      <c r="K9" s="9"/>
    </row>
    <row r="10" spans="1:12" x14ac:dyDescent="0.3">
      <c r="E10" s="7" t="s">
        <v>31</v>
      </c>
      <c r="F10" s="8" t="s">
        <v>32</v>
      </c>
      <c r="I10" s="9" t="s">
        <v>260</v>
      </c>
      <c r="K10" s="9"/>
    </row>
    <row r="11" spans="1:12" x14ac:dyDescent="0.3"/>
    <row r="12" spans="1:12" x14ac:dyDescent="0.3"/>
    <row r="13" spans="1:12" s="71" customFormat="1" x14ac:dyDescent="0.3">
      <c r="A13" s="63"/>
      <c r="B13" s="63"/>
      <c r="C13" s="63"/>
      <c r="D13" s="64" t="s">
        <v>22</v>
      </c>
      <c r="E13" s="63"/>
      <c r="F13" s="63"/>
      <c r="G13" s="63"/>
      <c r="H13" s="63"/>
      <c r="I13" s="63"/>
      <c r="J13" s="63"/>
      <c r="K13" s="63"/>
      <c r="L13" s="63"/>
    </row>
    <row r="14" spans="1:12" x14ac:dyDescent="0.3">
      <c r="G14" s="5" t="s">
        <v>25</v>
      </c>
      <c r="I14" s="5" t="s">
        <v>28</v>
      </c>
      <c r="K14" s="5" t="s">
        <v>29</v>
      </c>
    </row>
    <row r="15" spans="1:12" x14ac:dyDescent="0.3">
      <c r="E15" s="7" t="s">
        <v>23</v>
      </c>
      <c r="F15" s="8">
        <v>5000</v>
      </c>
      <c r="G15" s="7" t="s">
        <v>273</v>
      </c>
      <c r="I15" s="9"/>
      <c r="K15" s="9"/>
    </row>
    <row r="16" spans="1:12" x14ac:dyDescent="0.3">
      <c r="E16" s="7" t="s">
        <v>24</v>
      </c>
      <c r="F16" s="8">
        <v>4000</v>
      </c>
      <c r="G16" s="7" t="s">
        <v>273</v>
      </c>
      <c r="I16" s="9"/>
      <c r="K16" s="9"/>
    </row>
    <row r="17" spans="1:12" ht="15" customHeight="1" x14ac:dyDescent="0.3"/>
    <row r="18" spans="1:12" x14ac:dyDescent="0.3">
      <c r="E18" s="7" t="s">
        <v>27</v>
      </c>
      <c r="F18" s="8">
        <v>45</v>
      </c>
      <c r="G18" s="7" t="s">
        <v>274</v>
      </c>
      <c r="I18" s="9" t="s">
        <v>260</v>
      </c>
      <c r="K18" s="9"/>
    </row>
    <row r="19" spans="1:12" x14ac:dyDescent="0.3">
      <c r="E19" s="7" t="s">
        <v>113</v>
      </c>
      <c r="F19" s="8">
        <v>30</v>
      </c>
      <c r="G19" s="7" t="s">
        <v>274</v>
      </c>
      <c r="I19" s="9" t="s">
        <v>260</v>
      </c>
      <c r="K19" s="9"/>
    </row>
    <row r="20" spans="1:12" x14ac:dyDescent="0.3"/>
    <row r="21" spans="1:12" x14ac:dyDescent="0.3">
      <c r="E21" s="7" t="s">
        <v>111</v>
      </c>
      <c r="F21" s="8">
        <v>15</v>
      </c>
      <c r="G21" s="7" t="s">
        <v>274</v>
      </c>
      <c r="I21" s="9" t="s">
        <v>260</v>
      </c>
      <c r="K21" s="9"/>
    </row>
    <row r="22" spans="1:12" x14ac:dyDescent="0.3">
      <c r="E22" s="7" t="s">
        <v>294</v>
      </c>
      <c r="F22" s="8">
        <v>12</v>
      </c>
      <c r="G22" s="7" t="s">
        <v>274</v>
      </c>
      <c r="I22" s="9" t="s">
        <v>260</v>
      </c>
      <c r="K22" s="9"/>
    </row>
    <row r="23" spans="1:12" x14ac:dyDescent="0.3"/>
    <row r="24" spans="1:12" x14ac:dyDescent="0.3"/>
    <row r="25" spans="1:12" s="71" customFormat="1" x14ac:dyDescent="0.3">
      <c r="A25" s="63"/>
      <c r="B25" s="63"/>
      <c r="C25" s="63"/>
      <c r="D25" s="64" t="s">
        <v>300</v>
      </c>
      <c r="E25" s="63"/>
      <c r="F25" s="63"/>
      <c r="G25" s="63"/>
      <c r="H25" s="63"/>
      <c r="I25" s="63"/>
      <c r="J25" s="63"/>
      <c r="K25" s="63"/>
      <c r="L25" s="63"/>
    </row>
    <row r="26" spans="1:12" x14ac:dyDescent="0.3">
      <c r="D26" s="5"/>
      <c r="G26" s="5" t="s">
        <v>25</v>
      </c>
      <c r="I26" s="5" t="s">
        <v>28</v>
      </c>
      <c r="K26" s="5" t="s">
        <v>29</v>
      </c>
    </row>
    <row r="27" spans="1:12" x14ac:dyDescent="0.3">
      <c r="E27" s="7" t="s">
        <v>201</v>
      </c>
      <c r="F27" s="74" t="s">
        <v>72</v>
      </c>
      <c r="I27" s="9" t="s">
        <v>260</v>
      </c>
      <c r="K27" s="9"/>
    </row>
    <row r="28" spans="1:12" x14ac:dyDescent="0.3">
      <c r="E28" s="7" t="s">
        <v>26</v>
      </c>
      <c r="F28" s="8">
        <v>15</v>
      </c>
      <c r="G28" s="7" t="s">
        <v>218</v>
      </c>
      <c r="I28" s="9" t="s">
        <v>260</v>
      </c>
      <c r="K28" s="9"/>
    </row>
    <row r="29" spans="1:12" x14ac:dyDescent="0.3">
      <c r="E29" s="7" t="s">
        <v>200</v>
      </c>
      <c r="F29" s="8">
        <v>20</v>
      </c>
      <c r="G29" s="7" t="str">
        <f>$F$10 &amp;  " per property /month"</f>
        <v>£ per property /month</v>
      </c>
      <c r="I29" s="9" t="s">
        <v>260</v>
      </c>
      <c r="K29" s="9"/>
    </row>
    <row r="30" spans="1:12" x14ac:dyDescent="0.3"/>
    <row r="31" spans="1:12" x14ac:dyDescent="0.3">
      <c r="E31" s="7" t="s">
        <v>202</v>
      </c>
      <c r="F31" s="74" t="s">
        <v>72</v>
      </c>
      <c r="I31" s="9" t="s">
        <v>260</v>
      </c>
      <c r="K31" s="9"/>
    </row>
    <row r="32" spans="1:12" x14ac:dyDescent="0.3">
      <c r="E32" s="7" t="s">
        <v>26</v>
      </c>
      <c r="F32" s="8">
        <v>15</v>
      </c>
      <c r="G32" s="7" t="s">
        <v>219</v>
      </c>
      <c r="I32" s="9" t="s">
        <v>260</v>
      </c>
      <c r="K32" s="9"/>
    </row>
    <row r="33" spans="1:12" x14ac:dyDescent="0.3">
      <c r="E33" s="7" t="s">
        <v>200</v>
      </c>
      <c r="F33" s="8">
        <v>20</v>
      </c>
      <c r="G33" s="7" t="str">
        <f>$F$10 &amp;  " per property/month"</f>
        <v>£ per property/month</v>
      </c>
      <c r="I33" s="9" t="s">
        <v>260</v>
      </c>
      <c r="K33" s="9"/>
    </row>
    <row r="34" spans="1:12" x14ac:dyDescent="0.3"/>
    <row r="35" spans="1:12" s="71" customFormat="1" x14ac:dyDescent="0.3">
      <c r="A35" s="63"/>
      <c r="B35" s="63"/>
      <c r="C35" s="63"/>
      <c r="D35" s="64" t="s">
        <v>36</v>
      </c>
      <c r="E35" s="63"/>
      <c r="F35" s="63"/>
      <c r="G35" s="63"/>
      <c r="H35" s="63"/>
      <c r="I35" s="63"/>
      <c r="J35" s="63"/>
      <c r="K35" s="63"/>
      <c r="L35" s="63"/>
    </row>
    <row r="36" spans="1:12" x14ac:dyDescent="0.3">
      <c r="G36" s="5" t="s">
        <v>25</v>
      </c>
      <c r="I36" s="5" t="s">
        <v>28</v>
      </c>
      <c r="K36" s="5" t="s">
        <v>29</v>
      </c>
    </row>
    <row r="37" spans="1:12" x14ac:dyDescent="0.3">
      <c r="E37" s="7" t="s">
        <v>37</v>
      </c>
      <c r="F37" s="28">
        <v>0.1</v>
      </c>
      <c r="G37" s="7" t="s">
        <v>38</v>
      </c>
      <c r="I37" s="9" t="s">
        <v>260</v>
      </c>
      <c r="K37" s="9"/>
    </row>
    <row r="38" spans="1:12" x14ac:dyDescent="0.3"/>
    <row r="39" spans="1:12" s="71" customFormat="1" x14ac:dyDescent="0.3">
      <c r="A39" s="63"/>
      <c r="B39" s="63"/>
      <c r="C39" s="63"/>
      <c r="D39" s="64" t="s">
        <v>5</v>
      </c>
      <c r="E39" s="63"/>
      <c r="F39" s="63"/>
      <c r="G39" s="63"/>
      <c r="H39" s="63"/>
      <c r="I39" s="63"/>
      <c r="J39" s="63"/>
      <c r="K39" s="63"/>
      <c r="L39" s="63"/>
    </row>
    <row r="40" spans="1:12" x14ac:dyDescent="0.3">
      <c r="G40" s="5" t="s">
        <v>25</v>
      </c>
      <c r="I40" s="5" t="s">
        <v>28</v>
      </c>
      <c r="K40" s="5" t="s">
        <v>29</v>
      </c>
    </row>
    <row r="41" spans="1:12" x14ac:dyDescent="0.3">
      <c r="E41" s="7" t="s">
        <v>0</v>
      </c>
      <c r="F41" s="8">
        <v>2020</v>
      </c>
      <c r="I41" s="9" t="s">
        <v>260</v>
      </c>
      <c r="K41" s="9"/>
    </row>
    <row r="42" spans="1:12" x14ac:dyDescent="0.3">
      <c r="E42" s="7" t="s">
        <v>1</v>
      </c>
      <c r="F42" s="65">
        <v>25</v>
      </c>
      <c r="G42" s="7" t="s">
        <v>2</v>
      </c>
      <c r="I42" s="9" t="s">
        <v>281</v>
      </c>
      <c r="K42" s="9"/>
    </row>
    <row r="43" spans="1:12" x14ac:dyDescent="0.3">
      <c r="E43" s="7" t="s">
        <v>115</v>
      </c>
      <c r="F43" s="66">
        <v>12</v>
      </c>
      <c r="G43" s="7" t="s">
        <v>116</v>
      </c>
      <c r="I43" s="9" t="s">
        <v>281</v>
      </c>
      <c r="K43" s="9"/>
    </row>
    <row r="44" spans="1:12" x14ac:dyDescent="0.3"/>
    <row r="45" spans="1:12" s="71" customFormat="1" x14ac:dyDescent="0.3">
      <c r="A45" s="63"/>
      <c r="B45" s="63"/>
      <c r="C45" s="63"/>
      <c r="D45" s="64" t="s">
        <v>19</v>
      </c>
      <c r="E45" s="63"/>
      <c r="F45" s="63"/>
      <c r="G45" s="63"/>
      <c r="H45" s="63"/>
      <c r="I45" s="63"/>
      <c r="J45" s="63"/>
      <c r="K45" s="63"/>
      <c r="L45" s="63"/>
    </row>
    <row r="46" spans="1:12" x14ac:dyDescent="0.3">
      <c r="G46" s="5" t="s">
        <v>25</v>
      </c>
      <c r="I46" s="5" t="s">
        <v>28</v>
      </c>
      <c r="K46" s="5" t="s">
        <v>29</v>
      </c>
    </row>
    <row r="47" spans="1:12" x14ac:dyDescent="0.3">
      <c r="E47" s="7" t="s">
        <v>20</v>
      </c>
      <c r="F47" s="8"/>
      <c r="I47" s="9"/>
      <c r="K47" s="9"/>
    </row>
    <row r="48" spans="1:12" x14ac:dyDescent="0.3"/>
    <row r="49" spans="1:12" s="72" customFormat="1" x14ac:dyDescent="0.3">
      <c r="A49" s="69" t="s">
        <v>106</v>
      </c>
      <c r="B49" s="68"/>
      <c r="C49" s="67"/>
      <c r="D49" s="68"/>
      <c r="E49" s="68"/>
      <c r="F49" s="68"/>
      <c r="G49" s="68"/>
      <c r="H49" s="68"/>
      <c r="I49" s="68"/>
      <c r="J49" s="68"/>
      <c r="K49" s="68"/>
      <c r="L49" s="68"/>
    </row>
    <row r="50" spans="1:12" hidden="1" x14ac:dyDescent="0.3">
      <c r="A50" s="5"/>
    </row>
  </sheetData>
  <phoneticPr fontId="27" type="noConversion"/>
  <dataValidations disablePrompts="1" count="1">
    <dataValidation type="list" allowBlank="1" showInputMessage="1" showErrorMessage="1" sqref="F27 F31" xr:uid="{00000000-0002-0000-0300-000000000000}">
      <formula1>"Kerosene, Wood, Diesel Generator"</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General_Next">
                <anchor moveWithCells="1" sizeWithCells="1">
                  <from>
                    <xdr:col>8</xdr:col>
                    <xdr:colOff>22860</xdr:colOff>
                    <xdr:row>1</xdr:row>
                    <xdr:rowOff>76200</xdr:rowOff>
                  </from>
                  <to>
                    <xdr:col>8</xdr:col>
                    <xdr:colOff>1965960</xdr:colOff>
                    <xdr:row>3</xdr:row>
                    <xdr:rowOff>22860</xdr:rowOff>
                  </to>
                </anchor>
              </controlPr>
            </control>
          </mc:Choice>
        </mc:AlternateContent>
        <mc:AlternateContent xmlns:mc="http://schemas.openxmlformats.org/markup-compatibility/2006">
          <mc:Choice Requires="x14">
            <control shapeId="6146" r:id="rId5" name="Button 2">
              <controlPr defaultSize="0" print="0" autoFill="0" autoPict="0" macro="[0]!ToInputMenu">
                <anchor moveWithCells="1" sizeWithCells="1">
                  <from>
                    <xdr:col>5</xdr:col>
                    <xdr:colOff>800100</xdr:colOff>
                    <xdr:row>1</xdr:row>
                    <xdr:rowOff>99060</xdr:rowOff>
                  </from>
                  <to>
                    <xdr:col>6</xdr:col>
                    <xdr:colOff>556260</xdr:colOff>
                    <xdr:row>3</xdr:row>
                    <xdr:rowOff>22860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rgb="FF00B0F0"/>
  </sheetPr>
  <dimension ref="A1:L67"/>
  <sheetViews>
    <sheetView showGridLines="0" workbookViewId="0">
      <selection activeCell="E11" sqref="E11:F60"/>
    </sheetView>
  </sheetViews>
  <sheetFormatPr defaultColWidth="0" defaultRowHeight="14.4" zeroHeight="1" x14ac:dyDescent="0.3"/>
  <cols>
    <col min="1" max="4" width="2.44140625" customWidth="1"/>
    <col min="5" max="5" width="76" bestFit="1" customWidth="1"/>
    <col min="6" max="6" width="24.33203125" customWidth="1"/>
    <col min="7" max="8" width="8.6640625" customWidth="1"/>
    <col min="9" max="9" width="121.6640625" customWidth="1"/>
    <col min="10" max="10" width="8.6640625" customWidth="1"/>
    <col min="11" max="11" width="51.6640625" customWidth="1"/>
    <col min="12" max="12" width="8.6640625" customWidth="1"/>
    <col min="13" max="16384" width="8.6640625" hidden="1"/>
  </cols>
  <sheetData>
    <row r="1" spans="1:12" ht="25.8" x14ac:dyDescent="0.3">
      <c r="A1" s="6" t="str">
        <f ca="1">MID(CELL("filename",A1),FIND("]",CELL("filename",A1))+1,255)</f>
        <v>Plant Expenditure and Info</v>
      </c>
    </row>
    <row r="2" spans="1:12" x14ac:dyDescent="0.3"/>
    <row r="3" spans="1:12" x14ac:dyDescent="0.3"/>
    <row r="4" spans="1:12" x14ac:dyDescent="0.3"/>
    <row r="5" spans="1:12" x14ac:dyDescent="0.3"/>
    <row r="6" spans="1:12" x14ac:dyDescent="0.3"/>
    <row r="7" spans="1:12" x14ac:dyDescent="0.3">
      <c r="E7" s="129" t="s">
        <v>31</v>
      </c>
      <c r="F7" s="129" t="str">
        <f>General!F10</f>
        <v>£</v>
      </c>
    </row>
    <row r="8" spans="1:12" x14ac:dyDescent="0.3"/>
    <row r="9" spans="1:12" s="73" customFormat="1" x14ac:dyDescent="0.3">
      <c r="C9" s="64" t="s">
        <v>8</v>
      </c>
    </row>
    <row r="10" spans="1:12" s="7" customFormat="1" x14ac:dyDescent="0.3">
      <c r="D10" s="5"/>
      <c r="G10" s="5" t="s">
        <v>25</v>
      </c>
      <c r="I10" s="5" t="s">
        <v>28</v>
      </c>
      <c r="K10" s="5" t="s">
        <v>29</v>
      </c>
    </row>
    <row r="11" spans="1:12" s="7" customFormat="1" x14ac:dyDescent="0.3">
      <c r="E11" s="7" t="s">
        <v>6</v>
      </c>
      <c r="F11" s="8">
        <v>20</v>
      </c>
      <c r="G11" s="7" t="s">
        <v>30</v>
      </c>
      <c r="I11" s="9"/>
      <c r="K11" s="9"/>
    </row>
    <row r="12" spans="1:12" s="7" customFormat="1" x14ac:dyDescent="0.3">
      <c r="D12" s="164"/>
      <c r="E12" s="7" t="s">
        <v>7</v>
      </c>
      <c r="F12" s="74">
        <v>60</v>
      </c>
      <c r="G12" s="7" t="s">
        <v>319</v>
      </c>
      <c r="I12" s="9"/>
      <c r="K12" s="9"/>
    </row>
    <row r="13" spans="1:12" s="7" customFormat="1" x14ac:dyDescent="0.3">
      <c r="D13" s="164"/>
      <c r="E13" s="7" t="s">
        <v>314</v>
      </c>
      <c r="F13" s="17">
        <v>5.0000000000000001E-3</v>
      </c>
      <c r="G13" t="s">
        <v>38</v>
      </c>
      <c r="H13"/>
      <c r="I13" s="9" t="s">
        <v>260</v>
      </c>
      <c r="J13"/>
      <c r="K13" s="3"/>
      <c r="L13"/>
    </row>
    <row r="14" spans="1:12" s="7" customFormat="1" x14ac:dyDescent="0.3">
      <c r="D14" s="164"/>
      <c r="E14" s="7" t="s">
        <v>318</v>
      </c>
      <c r="F14" s="161">
        <v>1650</v>
      </c>
      <c r="G14" s="7" t="s">
        <v>320</v>
      </c>
      <c r="H14"/>
      <c r="I14" s="9" t="s">
        <v>260</v>
      </c>
      <c r="J14"/>
      <c r="K14" s="3"/>
      <c r="L14"/>
    </row>
    <row r="15" spans="1:12" s="7" customFormat="1" x14ac:dyDescent="0.3"/>
    <row r="16" spans="1:12" s="73" customFormat="1" x14ac:dyDescent="0.3">
      <c r="C16" s="75" t="s">
        <v>15</v>
      </c>
      <c r="D16" s="75"/>
    </row>
    <row r="17" spans="3:11" x14ac:dyDescent="0.3">
      <c r="C17" s="1"/>
      <c r="D17" s="1"/>
      <c r="G17" s="5" t="s">
        <v>25</v>
      </c>
      <c r="H17" s="7"/>
      <c r="I17" s="5" t="s">
        <v>28</v>
      </c>
      <c r="J17" s="7"/>
      <c r="K17" s="5" t="s">
        <v>29</v>
      </c>
    </row>
    <row r="18" spans="3:11" x14ac:dyDescent="0.3">
      <c r="E18" t="s">
        <v>9</v>
      </c>
      <c r="F18" s="2">
        <v>500</v>
      </c>
      <c r="G18" t="str">
        <f>$F$7</f>
        <v>£</v>
      </c>
      <c r="I18" s="9" t="s">
        <v>260</v>
      </c>
      <c r="K18" s="3"/>
    </row>
    <row r="19" spans="3:11" x14ac:dyDescent="0.3">
      <c r="E19" t="s">
        <v>78</v>
      </c>
      <c r="F19" s="2">
        <v>650</v>
      </c>
      <c r="G19" t="str">
        <f t="shared" ref="G19:G27" si="0">$F$7</f>
        <v>£</v>
      </c>
      <c r="I19" s="9" t="s">
        <v>260</v>
      </c>
      <c r="K19" s="3"/>
    </row>
    <row r="20" spans="3:11" x14ac:dyDescent="0.3">
      <c r="E20" t="s">
        <v>10</v>
      </c>
      <c r="F20" s="2">
        <v>300</v>
      </c>
      <c r="G20" t="str">
        <f t="shared" si="0"/>
        <v>£</v>
      </c>
      <c r="I20" s="9" t="s">
        <v>260</v>
      </c>
      <c r="K20" s="3"/>
    </row>
    <row r="21" spans="3:11" x14ac:dyDescent="0.3">
      <c r="E21" t="s">
        <v>11</v>
      </c>
      <c r="F21" s="2">
        <v>300</v>
      </c>
      <c r="G21" t="str">
        <f t="shared" si="0"/>
        <v>£</v>
      </c>
      <c r="I21" s="9" t="s">
        <v>260</v>
      </c>
      <c r="K21" s="3"/>
    </row>
    <row r="22" spans="3:11" x14ac:dyDescent="0.3">
      <c r="E22" t="s">
        <v>12</v>
      </c>
      <c r="F22" s="2">
        <v>1000</v>
      </c>
      <c r="G22" t="str">
        <f t="shared" si="0"/>
        <v>£</v>
      </c>
      <c r="I22" s="9" t="s">
        <v>260</v>
      </c>
      <c r="K22" s="3"/>
    </row>
    <row r="23" spans="3:11" x14ac:dyDescent="0.3">
      <c r="E23" t="s">
        <v>13</v>
      </c>
      <c r="F23" s="2">
        <v>800</v>
      </c>
      <c r="G23" t="str">
        <f t="shared" si="0"/>
        <v>£</v>
      </c>
      <c r="I23" s="9" t="s">
        <v>260</v>
      </c>
      <c r="K23" s="3"/>
    </row>
    <row r="24" spans="3:11" x14ac:dyDescent="0.3">
      <c r="E24" t="s">
        <v>14</v>
      </c>
      <c r="F24" s="2">
        <v>200</v>
      </c>
      <c r="G24" t="str">
        <f t="shared" si="0"/>
        <v>£</v>
      </c>
      <c r="I24" s="9" t="s">
        <v>260</v>
      </c>
      <c r="K24" s="3"/>
    </row>
    <row r="25" spans="3:11" x14ac:dyDescent="0.3">
      <c r="E25" s="11" t="s">
        <v>33</v>
      </c>
      <c r="F25" s="2">
        <v>200</v>
      </c>
      <c r="G25" t="str">
        <f t="shared" si="0"/>
        <v>£</v>
      </c>
      <c r="I25" s="9" t="s">
        <v>260</v>
      </c>
      <c r="K25" s="3"/>
    </row>
    <row r="26" spans="3:11" x14ac:dyDescent="0.3">
      <c r="E26" t="s">
        <v>35</v>
      </c>
      <c r="F26" s="2">
        <v>1000</v>
      </c>
      <c r="G26" t="str">
        <f t="shared" si="0"/>
        <v>£</v>
      </c>
      <c r="I26" s="9" t="s">
        <v>260</v>
      </c>
      <c r="K26" s="3"/>
    </row>
    <row r="27" spans="3:11" x14ac:dyDescent="0.3">
      <c r="E27" t="s">
        <v>34</v>
      </c>
      <c r="F27" s="2">
        <v>1000</v>
      </c>
      <c r="G27" t="str">
        <f t="shared" si="0"/>
        <v>£</v>
      </c>
      <c r="I27" s="9" t="s">
        <v>260</v>
      </c>
      <c r="K27" s="3"/>
    </row>
    <row r="28" spans="3:11" x14ac:dyDescent="0.3"/>
    <row r="29" spans="3:11" x14ac:dyDescent="0.3"/>
    <row r="30" spans="3:11" s="73" customFormat="1" x14ac:dyDescent="0.3">
      <c r="C30" s="75" t="s">
        <v>16</v>
      </c>
      <c r="D30" s="75"/>
    </row>
    <row r="31" spans="3:11" x14ac:dyDescent="0.3">
      <c r="C31" s="1"/>
      <c r="D31" s="1"/>
      <c r="G31" s="5" t="s">
        <v>25</v>
      </c>
      <c r="H31" s="7"/>
      <c r="I31" s="5" t="s">
        <v>28</v>
      </c>
      <c r="J31" s="7"/>
      <c r="K31" s="5" t="s">
        <v>29</v>
      </c>
    </row>
    <row r="32" spans="3:11" x14ac:dyDescent="0.3">
      <c r="E32" t="s">
        <v>17</v>
      </c>
      <c r="F32" s="2">
        <v>200</v>
      </c>
      <c r="G32" t="str">
        <f>F7&amp;"/year"</f>
        <v>£/year</v>
      </c>
      <c r="I32" s="9" t="s">
        <v>260</v>
      </c>
      <c r="K32" s="3"/>
    </row>
    <row r="33" spans="3:11" x14ac:dyDescent="0.3">
      <c r="D33" s="35"/>
      <c r="E33" t="s">
        <v>313</v>
      </c>
      <c r="F33" s="17">
        <v>0.03</v>
      </c>
      <c r="G33" t="s">
        <v>38</v>
      </c>
      <c r="I33" s="9" t="s">
        <v>260</v>
      </c>
      <c r="K33" s="3"/>
    </row>
    <row r="34" spans="3:11" x14ac:dyDescent="0.3"/>
    <row r="35" spans="3:11" s="73" customFormat="1" x14ac:dyDescent="0.3">
      <c r="C35" s="75" t="s">
        <v>18</v>
      </c>
      <c r="D35" s="75"/>
    </row>
    <row r="36" spans="3:11" x14ac:dyDescent="0.3"/>
    <row r="37" spans="3:11" x14ac:dyDescent="0.3">
      <c r="D37" s="162" t="s">
        <v>77</v>
      </c>
      <c r="G37" s="5" t="s">
        <v>25</v>
      </c>
      <c r="H37" s="7"/>
      <c r="I37" s="5" t="s">
        <v>28</v>
      </c>
      <c r="K37" s="5" t="s">
        <v>29</v>
      </c>
    </row>
    <row r="38" spans="3:11" ht="33.450000000000003" customHeight="1" x14ac:dyDescent="0.3">
      <c r="E38" t="s">
        <v>79</v>
      </c>
      <c r="F38" s="2">
        <v>2</v>
      </c>
      <c r="I38" s="14" t="s">
        <v>261</v>
      </c>
      <c r="K38" s="3"/>
    </row>
    <row r="39" spans="3:11" x14ac:dyDescent="0.3"/>
    <row r="40" spans="3:11" ht="37.950000000000003" customHeight="1" x14ac:dyDescent="0.3">
      <c r="E40" t="s">
        <v>80</v>
      </c>
      <c r="F40" s="2">
        <v>2029</v>
      </c>
      <c r="I40" s="14" t="s">
        <v>332</v>
      </c>
      <c r="K40" s="3"/>
    </row>
    <row r="41" spans="3:11" ht="36.450000000000003" customHeight="1" x14ac:dyDescent="0.3">
      <c r="E41" t="s">
        <v>81</v>
      </c>
      <c r="F41" s="2">
        <v>2038</v>
      </c>
      <c r="I41" s="14" t="s">
        <v>332</v>
      </c>
      <c r="K41" s="3"/>
    </row>
    <row r="42" spans="3:11" x14ac:dyDescent="0.3"/>
    <row r="43" spans="3:11" x14ac:dyDescent="0.3">
      <c r="E43" s="1" t="s">
        <v>82</v>
      </c>
    </row>
    <row r="44" spans="3:11" x14ac:dyDescent="0.3">
      <c r="E44" t="s">
        <v>321</v>
      </c>
      <c r="F44" s="2">
        <v>20</v>
      </c>
      <c r="G44" t="s">
        <v>30</v>
      </c>
      <c r="I44" s="3" t="s">
        <v>86</v>
      </c>
      <c r="K44" s="3"/>
    </row>
    <row r="45" spans="3:11" x14ac:dyDescent="0.3">
      <c r="E45" t="s">
        <v>94</v>
      </c>
      <c r="F45" s="2">
        <v>2000</v>
      </c>
      <c r="G45" t="str">
        <f>$F$7</f>
        <v>£</v>
      </c>
      <c r="I45" s="3" t="s">
        <v>263</v>
      </c>
      <c r="K45" s="3"/>
    </row>
    <row r="46" spans="3:11" x14ac:dyDescent="0.3">
      <c r="E46" t="s">
        <v>323</v>
      </c>
      <c r="F46" s="2">
        <v>50</v>
      </c>
      <c r="G46" s="7" t="s">
        <v>319</v>
      </c>
      <c r="I46" s="3" t="s">
        <v>86</v>
      </c>
      <c r="K46" s="3"/>
    </row>
    <row r="47" spans="3:11" x14ac:dyDescent="0.3">
      <c r="E47" t="s">
        <v>83</v>
      </c>
      <c r="F47" s="2">
        <v>1000</v>
      </c>
      <c r="G47" t="str">
        <f>$F$7</f>
        <v>£</v>
      </c>
      <c r="I47" s="3" t="s">
        <v>333</v>
      </c>
      <c r="K47" s="3"/>
    </row>
    <row r="48" spans="3:11" x14ac:dyDescent="0.3"/>
    <row r="49" spans="1:11" x14ac:dyDescent="0.3">
      <c r="E49" s="1" t="s">
        <v>84</v>
      </c>
    </row>
    <row r="50" spans="1:11" x14ac:dyDescent="0.3">
      <c r="E50" t="s">
        <v>322</v>
      </c>
      <c r="F50" s="2">
        <v>30</v>
      </c>
      <c r="G50" t="s">
        <v>30</v>
      </c>
      <c r="I50" s="3" t="s">
        <v>86</v>
      </c>
      <c r="K50" s="3"/>
    </row>
    <row r="51" spans="1:11" x14ac:dyDescent="0.3">
      <c r="E51" t="s">
        <v>95</v>
      </c>
      <c r="F51" s="2">
        <v>1300</v>
      </c>
      <c r="G51" t="str">
        <f>$F$7</f>
        <v>£</v>
      </c>
      <c r="I51" s="3" t="s">
        <v>263</v>
      </c>
      <c r="K51" s="3"/>
    </row>
    <row r="52" spans="1:11" x14ac:dyDescent="0.3">
      <c r="E52" t="s">
        <v>324</v>
      </c>
      <c r="F52" s="2">
        <v>30</v>
      </c>
      <c r="G52" s="7" t="s">
        <v>319</v>
      </c>
      <c r="I52" s="3" t="s">
        <v>86</v>
      </c>
      <c r="K52" s="3"/>
    </row>
    <row r="53" spans="1:11" x14ac:dyDescent="0.3">
      <c r="E53" t="s">
        <v>85</v>
      </c>
      <c r="F53" s="2">
        <v>6000</v>
      </c>
      <c r="G53" t="str">
        <f>$F$7</f>
        <v>£</v>
      </c>
      <c r="I53" s="3" t="s">
        <v>333</v>
      </c>
      <c r="K53" s="3"/>
    </row>
    <row r="54" spans="1:11" x14ac:dyDescent="0.3"/>
    <row r="55" spans="1:11" x14ac:dyDescent="0.3"/>
    <row r="56" spans="1:11" s="73" customFormat="1" x14ac:dyDescent="0.3">
      <c r="C56" s="75" t="s">
        <v>39</v>
      </c>
      <c r="D56" s="75"/>
    </row>
    <row r="57" spans="1:11" x14ac:dyDescent="0.3">
      <c r="C57" s="1"/>
      <c r="D57" s="1"/>
      <c r="G57" s="5" t="s">
        <v>25</v>
      </c>
      <c r="H57" s="7"/>
      <c r="I57" s="5" t="s">
        <v>28</v>
      </c>
      <c r="K57" s="5" t="s">
        <v>29</v>
      </c>
    </row>
    <row r="58" spans="1:11" x14ac:dyDescent="0.3">
      <c r="E58" t="s">
        <v>40</v>
      </c>
      <c r="F58" s="17">
        <v>0.2</v>
      </c>
      <c r="G58" t="s">
        <v>38</v>
      </c>
      <c r="I58" s="3" t="s">
        <v>264</v>
      </c>
      <c r="K58" s="3"/>
    </row>
    <row r="59" spans="1:11" x14ac:dyDescent="0.3">
      <c r="E59" t="s">
        <v>41</v>
      </c>
      <c r="F59" s="17">
        <v>0</v>
      </c>
      <c r="G59" t="s">
        <v>38</v>
      </c>
      <c r="I59" s="3" t="s">
        <v>265</v>
      </c>
      <c r="K59" s="3"/>
    </row>
    <row r="60" spans="1:11" x14ac:dyDescent="0.3">
      <c r="E60" t="s">
        <v>123</v>
      </c>
      <c r="F60" s="17">
        <v>0.2</v>
      </c>
      <c r="G60" t="s">
        <v>38</v>
      </c>
      <c r="I60" s="3" t="s">
        <v>265</v>
      </c>
      <c r="K60" s="3"/>
    </row>
    <row r="61" spans="1:11" x14ac:dyDescent="0.3"/>
    <row r="62" spans="1:11" x14ac:dyDescent="0.3"/>
    <row r="63" spans="1:11" s="76" customFormat="1" x14ac:dyDescent="0.3">
      <c r="A63" s="77" t="s">
        <v>106</v>
      </c>
    </row>
    <row r="64" spans="1:11" x14ac:dyDescent="0.3"/>
    <row r="65" x14ac:dyDescent="0.3"/>
    <row r="66" x14ac:dyDescent="0.3"/>
    <row r="67" x14ac:dyDescent="0.3"/>
  </sheetData>
  <dataValidations count="2">
    <dataValidation type="list" allowBlank="1" showInputMessage="1" showErrorMessage="1" sqref="F38" xr:uid="{00000000-0002-0000-0400-000000000000}">
      <formula1>"0, 1, 2"</formula1>
    </dataValidation>
    <dataValidation type="whole" operator="lessThanOrEqual" allowBlank="1" showInputMessage="1" showErrorMessage="1" sqref="F40:F42" xr:uid="{00000000-0002-0000-0400-000001000000}">
      <formula1>#REF!</formula1>
    </dataValidation>
  </dataValidations>
  <pageMargins left="0.7" right="0.7"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Previous2">
                <anchor moveWithCells="1" sizeWithCells="1">
                  <from>
                    <xdr:col>3</xdr:col>
                    <xdr:colOff>76200</xdr:colOff>
                    <xdr:row>2</xdr:row>
                    <xdr:rowOff>0</xdr:rowOff>
                  </from>
                  <to>
                    <xdr:col>4</xdr:col>
                    <xdr:colOff>1851660</xdr:colOff>
                    <xdr:row>3</xdr:row>
                    <xdr:rowOff>137160</xdr:rowOff>
                  </to>
                </anchor>
              </controlPr>
            </control>
          </mc:Choice>
        </mc:AlternateContent>
        <mc:AlternateContent xmlns:mc="http://schemas.openxmlformats.org/markup-compatibility/2006">
          <mc:Choice Requires="x14">
            <control shapeId="7170" r:id="rId4" name="Button 2">
              <controlPr defaultSize="0" print="0" autoFill="0" autoPict="0" macro="[0]!Plant_new">
                <anchor moveWithCells="1" sizeWithCells="1">
                  <from>
                    <xdr:col>8</xdr:col>
                    <xdr:colOff>861060</xdr:colOff>
                    <xdr:row>2</xdr:row>
                    <xdr:rowOff>22860</xdr:rowOff>
                  </from>
                  <to>
                    <xdr:col>8</xdr:col>
                    <xdr:colOff>2804160</xdr:colOff>
                    <xdr:row>3</xdr:row>
                    <xdr:rowOff>137160</xdr:rowOff>
                  </to>
                </anchor>
              </controlPr>
            </control>
          </mc:Choice>
        </mc:AlternateContent>
        <mc:AlternateContent xmlns:mc="http://schemas.openxmlformats.org/markup-compatibility/2006">
          <mc:Choice Requires="x14">
            <control shapeId="7171" r:id="rId5" name="Button 3">
              <controlPr defaultSize="0" print="0" autoFill="0" autoPict="0" macro="[0]!ToInputMenu">
                <anchor moveWithCells="1" sizeWithCells="1">
                  <from>
                    <xdr:col>4</xdr:col>
                    <xdr:colOff>4404360</xdr:colOff>
                    <xdr:row>1</xdr:row>
                    <xdr:rowOff>152400</xdr:rowOff>
                  </from>
                  <to>
                    <xdr:col>5</xdr:col>
                    <xdr:colOff>1280160</xdr:colOff>
                    <xdr:row>3</xdr:row>
                    <xdr:rowOff>99060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00B0F0"/>
  </sheetPr>
  <dimension ref="A1:L68"/>
  <sheetViews>
    <sheetView showGridLines="0" topLeftCell="A15" workbookViewId="0">
      <selection activeCell="E58" sqref="E58"/>
    </sheetView>
  </sheetViews>
  <sheetFormatPr defaultColWidth="0" defaultRowHeight="14.4" zeroHeight="1" x14ac:dyDescent="0.3"/>
  <cols>
    <col min="1" max="4" width="2.44140625" style="131" customWidth="1"/>
    <col min="5" max="5" width="77" style="131" bestFit="1" customWidth="1"/>
    <col min="6" max="6" width="26.6640625" style="132" customWidth="1"/>
    <col min="7" max="7" width="20.44140625" style="131" bestFit="1" customWidth="1"/>
    <col min="8" max="8" width="12.44140625" style="131" customWidth="1"/>
    <col min="9" max="9" width="87.33203125" style="131" customWidth="1"/>
    <col min="10" max="10" width="8.6640625" style="131" customWidth="1"/>
    <col min="11" max="11" width="53" style="131" customWidth="1"/>
    <col min="12" max="12" width="8.6640625" style="131" customWidth="1"/>
    <col min="13" max="16384" width="8.6640625" style="131" hidden="1"/>
  </cols>
  <sheetData>
    <row r="1" spans="1:12" ht="25.8" x14ac:dyDescent="0.3">
      <c r="A1" s="130" t="str">
        <f ca="1">MID(CELL("filename",A1),FIND("]",CELL("filename",A1))+1,255)</f>
        <v>Revenue &amp; Electricity Consump</v>
      </c>
    </row>
    <row r="2" spans="1:12" x14ac:dyDescent="0.3"/>
    <row r="3" spans="1:12" x14ac:dyDescent="0.3"/>
    <row r="4" spans="1:12" x14ac:dyDescent="0.3"/>
    <row r="5" spans="1:12" x14ac:dyDescent="0.3"/>
    <row r="6" spans="1:12" x14ac:dyDescent="0.3"/>
    <row r="7" spans="1:12" x14ac:dyDescent="0.3">
      <c r="E7" s="133" t="str">
        <f>General!E10</f>
        <v>Currency</v>
      </c>
      <c r="F7" s="134" t="str">
        <f>General!F10</f>
        <v>£</v>
      </c>
    </row>
    <row r="8" spans="1:12" x14ac:dyDescent="0.3"/>
    <row r="9" spans="1:12" x14ac:dyDescent="0.3"/>
    <row r="10" spans="1:12" s="135" customFormat="1" ht="18" x14ac:dyDescent="0.3">
      <c r="B10" s="136" t="s">
        <v>64</v>
      </c>
      <c r="F10" s="137"/>
    </row>
    <row r="11" spans="1:12" x14ac:dyDescent="0.3"/>
    <row r="12" spans="1:12" s="138" customFormat="1" x14ac:dyDescent="0.3">
      <c r="C12" s="139" t="s">
        <v>176</v>
      </c>
      <c r="F12" s="140"/>
      <c r="G12" s="139"/>
      <c r="I12" s="141"/>
      <c r="J12" s="142"/>
      <c r="K12" s="141"/>
    </row>
    <row r="13" spans="1:12" x14ac:dyDescent="0.3">
      <c r="C13" s="143"/>
      <c r="G13" s="143" t="s">
        <v>25</v>
      </c>
      <c r="I13" s="144" t="s">
        <v>28</v>
      </c>
      <c r="J13" s="145"/>
      <c r="K13" s="144" t="s">
        <v>29</v>
      </c>
    </row>
    <row r="14" spans="1:12" x14ac:dyDescent="0.3">
      <c r="E14" s="131" t="s">
        <v>241</v>
      </c>
      <c r="F14" s="146">
        <v>100</v>
      </c>
      <c r="G14" s="131" t="s">
        <v>60</v>
      </c>
      <c r="I14" s="147" t="s">
        <v>262</v>
      </c>
      <c r="J14" s="145"/>
      <c r="K14" s="147"/>
      <c r="L14" s="131" t="s">
        <v>299</v>
      </c>
    </row>
    <row r="15" spans="1:12" x14ac:dyDescent="0.3">
      <c r="E15" s="131" t="s">
        <v>242</v>
      </c>
      <c r="F15" s="146">
        <v>100</v>
      </c>
      <c r="G15" s="131" t="s">
        <v>60</v>
      </c>
      <c r="I15" s="147" t="s">
        <v>262</v>
      </c>
      <c r="J15" s="145"/>
      <c r="K15" s="147"/>
      <c r="L15" s="131" t="s">
        <v>299</v>
      </c>
    </row>
    <row r="16" spans="1:12" x14ac:dyDescent="0.3"/>
    <row r="17" spans="2:12" s="138" customFormat="1" x14ac:dyDescent="0.3">
      <c r="C17" s="139" t="s">
        <v>61</v>
      </c>
      <c r="F17" s="140"/>
    </row>
    <row r="18" spans="2:12" x14ac:dyDescent="0.3">
      <c r="G18" s="143" t="s">
        <v>25</v>
      </c>
      <c r="I18" s="144" t="s">
        <v>28</v>
      </c>
      <c r="J18" s="145"/>
      <c r="K18" s="144" t="s">
        <v>29</v>
      </c>
    </row>
    <row r="19" spans="2:12" ht="27" customHeight="1" x14ac:dyDescent="0.3">
      <c r="E19" s="131" t="s">
        <v>62</v>
      </c>
      <c r="F19" s="148">
        <v>0.01</v>
      </c>
      <c r="G19" s="131" t="s">
        <v>38</v>
      </c>
      <c r="I19" s="149" t="s">
        <v>306</v>
      </c>
      <c r="J19" s="145"/>
      <c r="K19" s="147"/>
      <c r="L19" s="131" t="s">
        <v>299</v>
      </c>
    </row>
    <row r="20" spans="2:12" ht="28.5" customHeight="1" x14ac:dyDescent="0.3">
      <c r="E20" s="131" t="s">
        <v>63</v>
      </c>
      <c r="F20" s="148">
        <v>0.01</v>
      </c>
      <c r="G20" s="131" t="s">
        <v>38</v>
      </c>
      <c r="I20" s="149" t="s">
        <v>307</v>
      </c>
      <c r="J20" s="145"/>
      <c r="K20" s="147"/>
      <c r="L20" s="131" t="s">
        <v>299</v>
      </c>
    </row>
    <row r="21" spans="2:12" x14ac:dyDescent="0.3"/>
    <row r="22" spans="2:12" x14ac:dyDescent="0.3"/>
    <row r="23" spans="2:12" x14ac:dyDescent="0.3"/>
    <row r="24" spans="2:12" s="135" customFormat="1" ht="18" x14ac:dyDescent="0.3">
      <c r="B24" s="136" t="s">
        <v>46</v>
      </c>
      <c r="F24" s="137"/>
    </row>
    <row r="25" spans="2:12" x14ac:dyDescent="0.3">
      <c r="B25" s="143"/>
    </row>
    <row r="26" spans="2:12" s="138" customFormat="1" x14ac:dyDescent="0.3">
      <c r="B26" s="139"/>
      <c r="C26" s="139" t="s">
        <v>47</v>
      </c>
      <c r="F26" s="140"/>
    </row>
    <row r="27" spans="2:12" x14ac:dyDescent="0.3">
      <c r="B27" s="143"/>
      <c r="C27" s="143"/>
      <c r="G27" s="143" t="s">
        <v>25</v>
      </c>
      <c r="I27" s="144" t="s">
        <v>28</v>
      </c>
      <c r="J27" s="145"/>
      <c r="K27" s="144" t="s">
        <v>29</v>
      </c>
    </row>
    <row r="28" spans="2:12" x14ac:dyDescent="0.3">
      <c r="E28" s="131" t="s">
        <v>133</v>
      </c>
      <c r="F28" s="146" t="s">
        <v>42</v>
      </c>
      <c r="I28" s="147" t="s">
        <v>260</v>
      </c>
      <c r="J28" s="145"/>
      <c r="K28" s="147"/>
      <c r="L28" s="131" t="s">
        <v>299</v>
      </c>
    </row>
    <row r="29" spans="2:12" x14ac:dyDescent="0.3"/>
    <row r="30" spans="2:12" x14ac:dyDescent="0.3">
      <c r="E30" s="131" t="s">
        <v>134</v>
      </c>
      <c r="F30" s="146" t="s">
        <v>42</v>
      </c>
      <c r="I30" s="147" t="s">
        <v>260</v>
      </c>
      <c r="J30" s="145"/>
      <c r="K30" s="147"/>
      <c r="L30" s="131" t="s">
        <v>299</v>
      </c>
    </row>
    <row r="31" spans="2:12" x14ac:dyDescent="0.3"/>
    <row r="32" spans="2:12" x14ac:dyDescent="0.3">
      <c r="E32" s="131" t="s">
        <v>135</v>
      </c>
      <c r="F32" s="146" t="s">
        <v>42</v>
      </c>
      <c r="I32" s="147" t="s">
        <v>260</v>
      </c>
      <c r="J32" s="145"/>
      <c r="K32" s="147"/>
      <c r="L32" s="131" t="s">
        <v>299</v>
      </c>
    </row>
    <row r="33" spans="3:12" ht="28.5" customHeight="1" x14ac:dyDescent="0.3">
      <c r="E33" s="131" t="s">
        <v>178</v>
      </c>
      <c r="F33" s="146">
        <v>12</v>
      </c>
      <c r="G33" s="131" t="s">
        <v>45</v>
      </c>
      <c r="I33" s="149" t="s">
        <v>266</v>
      </c>
      <c r="J33" s="145"/>
      <c r="K33" s="147"/>
      <c r="L33" s="131" t="s">
        <v>299</v>
      </c>
    </row>
    <row r="34" spans="3:12" ht="30" customHeight="1" x14ac:dyDescent="0.3">
      <c r="E34" s="131" t="s">
        <v>177</v>
      </c>
      <c r="F34" s="146">
        <v>12</v>
      </c>
      <c r="G34" s="131" t="s">
        <v>45</v>
      </c>
      <c r="I34" s="149" t="s">
        <v>267</v>
      </c>
      <c r="J34" s="145"/>
      <c r="K34" s="147"/>
      <c r="L34" s="131" t="s">
        <v>299</v>
      </c>
    </row>
    <row r="35" spans="3:12" x14ac:dyDescent="0.3"/>
    <row r="36" spans="3:12" x14ac:dyDescent="0.3"/>
    <row r="37" spans="3:12" s="138" customFormat="1" x14ac:dyDescent="0.3">
      <c r="C37" s="139" t="s">
        <v>48</v>
      </c>
      <c r="F37" s="140"/>
    </row>
    <row r="38" spans="3:12" x14ac:dyDescent="0.3">
      <c r="C38" s="143"/>
      <c r="G38" s="143" t="s">
        <v>25</v>
      </c>
      <c r="I38" s="144" t="s">
        <v>28</v>
      </c>
      <c r="J38" s="145"/>
      <c r="K38" s="144" t="s">
        <v>29</v>
      </c>
    </row>
    <row r="39" spans="3:12" x14ac:dyDescent="0.3">
      <c r="E39" s="131" t="s">
        <v>250</v>
      </c>
      <c r="F39" s="146">
        <v>5</v>
      </c>
      <c r="G39" s="131" t="str">
        <f>$F$7&amp;"/dwelling/month"</f>
        <v>£/dwelling/month</v>
      </c>
      <c r="I39" s="147" t="s">
        <v>260</v>
      </c>
      <c r="J39" s="145"/>
      <c r="K39" s="147"/>
      <c r="L39" s="131" t="s">
        <v>299</v>
      </c>
    </row>
    <row r="40" spans="3:12" x14ac:dyDescent="0.3">
      <c r="E40" s="131" t="s">
        <v>49</v>
      </c>
      <c r="F40" s="146">
        <v>5</v>
      </c>
      <c r="G40" s="131" t="str">
        <f>$F$7&amp;"/dwelling/month"</f>
        <v>£/dwelling/month</v>
      </c>
      <c r="I40" s="147" t="s">
        <v>260</v>
      </c>
      <c r="J40" s="145"/>
      <c r="K40" s="147"/>
      <c r="L40" s="131" t="s">
        <v>299</v>
      </c>
    </row>
    <row r="41" spans="3:12" x14ac:dyDescent="0.3"/>
    <row r="42" spans="3:12" x14ac:dyDescent="0.3">
      <c r="E42" s="131" t="s">
        <v>43</v>
      </c>
      <c r="F42" s="146">
        <v>0.2</v>
      </c>
      <c r="G42" s="131" t="str">
        <f>$F$7&amp;"/kWh"</f>
        <v>£/kWh</v>
      </c>
      <c r="I42" s="147" t="s">
        <v>260</v>
      </c>
      <c r="J42" s="145"/>
      <c r="K42" s="147"/>
      <c r="L42" s="131" t="s">
        <v>299</v>
      </c>
    </row>
    <row r="43" spans="3:12" x14ac:dyDescent="0.3">
      <c r="E43" s="131" t="s">
        <v>44</v>
      </c>
      <c r="F43" s="146">
        <v>0.2</v>
      </c>
      <c r="G43" s="131" t="str">
        <f>$F$7&amp;"/kWh"</f>
        <v>£/kWh</v>
      </c>
      <c r="I43" s="147" t="s">
        <v>260</v>
      </c>
      <c r="J43" s="145"/>
      <c r="K43" s="147"/>
      <c r="L43" s="131" t="s">
        <v>299</v>
      </c>
    </row>
    <row r="44" spans="3:12" x14ac:dyDescent="0.3"/>
    <row r="45" spans="3:12" x14ac:dyDescent="0.3">
      <c r="E45" s="131" t="s">
        <v>50</v>
      </c>
      <c r="F45" s="146">
        <v>2</v>
      </c>
      <c r="G45" s="131" t="str">
        <f>$F$7&amp;"/dwelling/month"</f>
        <v>£/dwelling/month</v>
      </c>
      <c r="I45" s="147" t="s">
        <v>260</v>
      </c>
      <c r="J45" s="145"/>
      <c r="K45" s="147"/>
      <c r="L45" s="131" t="s">
        <v>299</v>
      </c>
    </row>
    <row r="46" spans="3:12" x14ac:dyDescent="0.3">
      <c r="E46" s="131" t="s">
        <v>51</v>
      </c>
      <c r="F46" s="146">
        <v>2</v>
      </c>
      <c r="G46" s="131" t="str">
        <f>$F$7&amp;"/dwelling/month"</f>
        <v>£/dwelling/month</v>
      </c>
      <c r="I46" s="147" t="s">
        <v>260</v>
      </c>
      <c r="J46" s="145"/>
      <c r="K46" s="147"/>
      <c r="L46" s="131" t="s">
        <v>299</v>
      </c>
    </row>
    <row r="47" spans="3:12" x14ac:dyDescent="0.3">
      <c r="E47" s="131" t="s">
        <v>52</v>
      </c>
      <c r="F47" s="146">
        <v>0.15</v>
      </c>
      <c r="G47" s="131" t="str">
        <f>$F$7&amp;"/kWh"</f>
        <v>£/kWh</v>
      </c>
      <c r="I47" s="147" t="s">
        <v>260</v>
      </c>
      <c r="J47" s="145"/>
      <c r="K47" s="147"/>
      <c r="L47" s="131" t="s">
        <v>299</v>
      </c>
    </row>
    <row r="48" spans="3:12" x14ac:dyDescent="0.3">
      <c r="E48" s="131" t="s">
        <v>53</v>
      </c>
      <c r="F48" s="146">
        <v>0.15</v>
      </c>
      <c r="G48" s="131" t="str">
        <f>$F$7&amp;"/kWh"</f>
        <v>£/kWh</v>
      </c>
      <c r="I48" s="147" t="s">
        <v>260</v>
      </c>
      <c r="J48" s="145"/>
      <c r="K48" s="147"/>
    </row>
    <row r="49" spans="3:12" x14ac:dyDescent="0.3"/>
    <row r="50" spans="3:12" x14ac:dyDescent="0.3"/>
    <row r="51" spans="3:12" s="138" customFormat="1" x14ac:dyDescent="0.3">
      <c r="C51" s="139" t="s">
        <v>73</v>
      </c>
      <c r="F51" s="140"/>
    </row>
    <row r="52" spans="3:12" x14ac:dyDescent="0.3">
      <c r="G52" s="143" t="s">
        <v>25</v>
      </c>
      <c r="I52" s="144" t="s">
        <v>28</v>
      </c>
      <c r="J52" s="145"/>
      <c r="K52" s="144" t="s">
        <v>29</v>
      </c>
    </row>
    <row r="53" spans="3:12" ht="31.2" customHeight="1" x14ac:dyDescent="0.3">
      <c r="E53" s="131" t="s">
        <v>54</v>
      </c>
      <c r="F53" s="146">
        <v>2025</v>
      </c>
      <c r="I53" s="149" t="s">
        <v>268</v>
      </c>
      <c r="J53" s="145"/>
      <c r="K53" s="147"/>
      <c r="L53" s="131" t="s">
        <v>299</v>
      </c>
    </row>
    <row r="54" spans="3:12" ht="31.2" customHeight="1" x14ac:dyDescent="0.3">
      <c r="E54" s="131" t="s">
        <v>55</v>
      </c>
      <c r="F54" s="146">
        <v>2030</v>
      </c>
      <c r="I54" s="149" t="s">
        <v>268</v>
      </c>
      <c r="J54" s="145"/>
      <c r="K54" s="147"/>
      <c r="L54" s="131" t="s">
        <v>299</v>
      </c>
    </row>
    <row r="55" spans="3:12" ht="31.2" customHeight="1" x14ac:dyDescent="0.3">
      <c r="E55" s="131" t="s">
        <v>56</v>
      </c>
      <c r="F55" s="146">
        <v>2035</v>
      </c>
      <c r="I55" s="149" t="s">
        <v>268</v>
      </c>
      <c r="J55" s="145"/>
      <c r="K55" s="147"/>
      <c r="L55" s="131" t="s">
        <v>299</v>
      </c>
    </row>
    <row r="56" spans="3:12" ht="33.450000000000003" customHeight="1" x14ac:dyDescent="0.3">
      <c r="E56" s="131" t="s">
        <v>58</v>
      </c>
      <c r="F56" s="146">
        <v>2040</v>
      </c>
      <c r="I56" s="149" t="s">
        <v>268</v>
      </c>
      <c r="J56" s="145"/>
      <c r="K56" s="147"/>
      <c r="L56" s="131" t="s">
        <v>299</v>
      </c>
    </row>
    <row r="57" spans="3:12" ht="32.700000000000003" customHeight="1" x14ac:dyDescent="0.3">
      <c r="E57" s="131" t="s">
        <v>59</v>
      </c>
      <c r="F57" s="146">
        <v>2045</v>
      </c>
      <c r="I57" s="149" t="s">
        <v>268</v>
      </c>
      <c r="J57" s="145"/>
      <c r="K57" s="147"/>
      <c r="L57" s="131" t="s">
        <v>299</v>
      </c>
    </row>
    <row r="58" spans="3:12" x14ac:dyDescent="0.3"/>
    <row r="59" spans="3:12" x14ac:dyDescent="0.3">
      <c r="D59" s="143" t="s">
        <v>179</v>
      </c>
    </row>
    <row r="60" spans="3:12" x14ac:dyDescent="0.3">
      <c r="E60" s="154">
        <f>IF(F53&gt;0,F53,"Please do not enter a value in the row on the right")</f>
        <v>2025</v>
      </c>
      <c r="F60" s="150">
        <v>0.01</v>
      </c>
      <c r="G60" s="131" t="s">
        <v>38</v>
      </c>
      <c r="I60" s="147" t="s">
        <v>262</v>
      </c>
      <c r="J60" s="145"/>
      <c r="K60" s="147"/>
      <c r="L60" s="131" t="s">
        <v>299</v>
      </c>
    </row>
    <row r="61" spans="3:12" x14ac:dyDescent="0.3">
      <c r="E61" s="154">
        <f>IF(F54&gt;0,F54,"Please do not enter a value in the row on the right")</f>
        <v>2030</v>
      </c>
      <c r="F61" s="150">
        <v>1.4999999999999999E-2</v>
      </c>
      <c r="G61" s="131" t="s">
        <v>38</v>
      </c>
      <c r="I61" s="147" t="s">
        <v>269</v>
      </c>
      <c r="J61" s="145"/>
      <c r="K61" s="147"/>
      <c r="L61" s="131" t="s">
        <v>299</v>
      </c>
    </row>
    <row r="62" spans="3:12" x14ac:dyDescent="0.3">
      <c r="E62" s="154">
        <f>IF(F55&gt;0,F55,"Please do not enter a value in the row on the right")</f>
        <v>2035</v>
      </c>
      <c r="F62" s="150">
        <v>1.4999999999999999E-2</v>
      </c>
      <c r="G62" s="131" t="s">
        <v>38</v>
      </c>
      <c r="I62" s="147" t="s">
        <v>270</v>
      </c>
      <c r="J62" s="145"/>
      <c r="K62" s="147"/>
      <c r="L62" s="131" t="s">
        <v>299</v>
      </c>
    </row>
    <row r="63" spans="3:12" x14ac:dyDescent="0.3">
      <c r="E63" s="154">
        <f>IF(F56&gt;0,F56,"Please do not enter a value in the row on the right")</f>
        <v>2040</v>
      </c>
      <c r="F63" s="150">
        <v>1.4999999999999999E-2</v>
      </c>
      <c r="G63" s="131" t="s">
        <v>38</v>
      </c>
      <c r="I63" s="147" t="s">
        <v>271</v>
      </c>
      <c r="J63" s="145"/>
      <c r="K63" s="147"/>
      <c r="L63" s="131" t="s">
        <v>299</v>
      </c>
    </row>
    <row r="64" spans="3:12" x14ac:dyDescent="0.3">
      <c r="E64" s="154">
        <f>IF(F57&gt;0,F57,"Please do not enter a value in the row on the right")</f>
        <v>2045</v>
      </c>
      <c r="F64" s="150">
        <v>1.4999999999999999E-2</v>
      </c>
      <c r="G64" s="131" t="s">
        <v>38</v>
      </c>
      <c r="I64" s="147" t="s">
        <v>272</v>
      </c>
      <c r="J64" s="145"/>
      <c r="K64" s="147"/>
      <c r="L64" s="131" t="s">
        <v>299</v>
      </c>
    </row>
    <row r="65" spans="1:6" x14ac:dyDescent="0.3"/>
    <row r="66" spans="1:6" x14ac:dyDescent="0.3"/>
    <row r="67" spans="1:6" x14ac:dyDescent="0.3"/>
    <row r="68" spans="1:6" s="152" customFormat="1" x14ac:dyDescent="0.3">
      <c r="A68" s="151" t="s">
        <v>106</v>
      </c>
      <c r="C68" s="151"/>
      <c r="F68" s="153"/>
    </row>
  </sheetData>
  <dataValidations count="1">
    <dataValidation type="list" allowBlank="1" showInputMessage="1" showErrorMessage="1" sqref="F28 F30 F32" xr:uid="{00000000-0002-0000-0500-000000000000}">
      <formula1>"Yes, No"</formula1>
    </dataValidation>
  </dataValidations>
  <pageMargins left="0.7" right="0.7"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Revenue_Previous">
                <anchor moveWithCells="1" sizeWithCells="1">
                  <from>
                    <xdr:col>4</xdr:col>
                    <xdr:colOff>556260</xdr:colOff>
                    <xdr:row>1</xdr:row>
                    <xdr:rowOff>175260</xdr:rowOff>
                  </from>
                  <to>
                    <xdr:col>4</xdr:col>
                    <xdr:colOff>2499360</xdr:colOff>
                    <xdr:row>3</xdr:row>
                    <xdr:rowOff>99060</xdr:rowOff>
                  </to>
                </anchor>
              </controlPr>
            </control>
          </mc:Choice>
        </mc:AlternateContent>
        <mc:AlternateContent xmlns:mc="http://schemas.openxmlformats.org/markup-compatibility/2006">
          <mc:Choice Requires="x14">
            <control shapeId="8194" r:id="rId4" name="Button 2">
              <controlPr defaultSize="0" print="0" autoFill="0" autoPict="0" macro="[0]!Revenue_Next">
                <anchor moveWithCells="1" sizeWithCells="1">
                  <from>
                    <xdr:col>8</xdr:col>
                    <xdr:colOff>899160</xdr:colOff>
                    <xdr:row>2</xdr:row>
                    <xdr:rowOff>0</xdr:rowOff>
                  </from>
                  <to>
                    <xdr:col>8</xdr:col>
                    <xdr:colOff>2842260</xdr:colOff>
                    <xdr:row>3</xdr:row>
                    <xdr:rowOff>137160</xdr:rowOff>
                  </to>
                </anchor>
              </controlPr>
            </control>
          </mc:Choice>
        </mc:AlternateContent>
        <mc:AlternateContent xmlns:mc="http://schemas.openxmlformats.org/markup-compatibility/2006">
          <mc:Choice Requires="x14">
            <control shapeId="8196" r:id="rId5" name="Button 4">
              <controlPr defaultSize="0" print="0" autoFill="0" autoPict="0" macro="[0]!ToInputMenu">
                <anchor moveWithCells="1" sizeWithCells="1">
                  <from>
                    <xdr:col>5</xdr:col>
                    <xdr:colOff>99060</xdr:colOff>
                    <xdr:row>2</xdr:row>
                    <xdr:rowOff>0</xdr:rowOff>
                  </from>
                  <to>
                    <xdr:col>6</xdr:col>
                    <xdr:colOff>266700</xdr:colOff>
                    <xdr:row>3</xdr:row>
                    <xdr:rowOff>137160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whole" operator="lessThanOrEqual" allowBlank="1" showInputMessage="1" showErrorMessage="1" xr:uid="{00000000-0002-0000-0500-000001000000}">
          <x14:formula1>
            <xm:f>Time!$F$6</xm:f>
          </x14:formula1>
          <xm:sqref>F53:F57</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tabColor rgb="FF00B0F0"/>
  </sheetPr>
  <dimension ref="A1:AL20"/>
  <sheetViews>
    <sheetView showGridLines="0" topLeftCell="B1" workbookViewId="0"/>
  </sheetViews>
  <sheetFormatPr defaultColWidth="0" defaultRowHeight="14.4" zeroHeight="1" x14ac:dyDescent="0.3"/>
  <cols>
    <col min="1" max="4" width="2.33203125" customWidth="1"/>
    <col min="5" max="5" width="51.44140625" bestFit="1" customWidth="1"/>
    <col min="6" max="6" width="8.6640625" customWidth="1"/>
    <col min="7" max="7" width="15.33203125" bestFit="1" customWidth="1"/>
    <col min="8" max="8" width="8.6640625" customWidth="1"/>
    <col min="9" max="9" width="92.6640625" bestFit="1" customWidth="1"/>
    <col min="10" max="10" width="8.6640625" customWidth="1"/>
    <col min="11" max="11" width="71" customWidth="1"/>
    <col min="12" max="38" width="8.6640625" customWidth="1"/>
    <col min="39" max="16384" width="8.6640625" hidden="1"/>
  </cols>
  <sheetData>
    <row r="1" spans="1:37" ht="25.8" x14ac:dyDescent="0.3">
      <c r="A1" s="6" t="str">
        <f ca="1">MID(CELL("filename",A1),FIND("]",CELL("filename",A1))+1,255)</f>
        <v>CO2 inputs</v>
      </c>
    </row>
    <row r="2" spans="1:37" x14ac:dyDescent="0.3"/>
    <row r="3" spans="1:37" x14ac:dyDescent="0.3"/>
    <row r="4" spans="1:37" x14ac:dyDescent="0.3"/>
    <row r="5" spans="1:37" x14ac:dyDescent="0.3"/>
    <row r="6" spans="1:37" x14ac:dyDescent="0.3"/>
    <row r="7" spans="1:37" x14ac:dyDescent="0.3"/>
    <row r="8" spans="1:37" s="73" customFormat="1" x14ac:dyDescent="0.3">
      <c r="D8" s="75" t="s">
        <v>65</v>
      </c>
      <c r="G8" s="75"/>
      <c r="I8" s="64"/>
      <c r="J8" s="63"/>
      <c r="K8" s="64"/>
    </row>
    <row r="9" spans="1:37" x14ac:dyDescent="0.3">
      <c r="G9" s="1" t="s">
        <v>25</v>
      </c>
      <c r="I9" s="5" t="s">
        <v>28</v>
      </c>
      <c r="J9" s="7"/>
      <c r="K9" s="5" t="s">
        <v>29</v>
      </c>
    </row>
    <row r="10" spans="1:37" ht="15.6" x14ac:dyDescent="0.3">
      <c r="E10" t="s">
        <v>66</v>
      </c>
      <c r="G10" t="s">
        <v>203</v>
      </c>
      <c r="I10" s="3" t="s">
        <v>228</v>
      </c>
      <c r="K10" s="13" t="s">
        <v>67</v>
      </c>
      <c r="L10" s="2">
        <v>0.5</v>
      </c>
      <c r="M10" s="2">
        <v>0.5</v>
      </c>
      <c r="N10" s="2">
        <v>0.5</v>
      </c>
      <c r="O10" s="2">
        <v>0.5</v>
      </c>
      <c r="P10" s="2">
        <v>0.5</v>
      </c>
      <c r="Q10" s="2">
        <v>0.5</v>
      </c>
      <c r="R10" s="2">
        <v>0.5</v>
      </c>
      <c r="S10" s="2">
        <v>0.5</v>
      </c>
      <c r="T10" s="2">
        <v>0.5</v>
      </c>
      <c r="U10" s="2">
        <v>0.5</v>
      </c>
      <c r="V10" s="2">
        <v>0.5</v>
      </c>
      <c r="W10" s="2">
        <v>0.5</v>
      </c>
      <c r="X10" s="2">
        <v>0.5</v>
      </c>
      <c r="Y10" s="2">
        <v>0.5</v>
      </c>
      <c r="Z10" s="2">
        <v>0.5</v>
      </c>
      <c r="AA10" s="2">
        <v>0.5</v>
      </c>
      <c r="AB10" s="2">
        <v>0.5</v>
      </c>
      <c r="AC10" s="2">
        <v>0.5</v>
      </c>
      <c r="AD10" s="2">
        <v>0.5</v>
      </c>
      <c r="AE10" s="2">
        <v>0.5</v>
      </c>
      <c r="AF10" s="2">
        <v>0.5</v>
      </c>
      <c r="AG10" s="2">
        <v>0.5</v>
      </c>
      <c r="AH10" s="2">
        <v>0.5</v>
      </c>
      <c r="AI10" s="2">
        <v>0.5</v>
      </c>
      <c r="AJ10" s="2">
        <v>0.5</v>
      </c>
      <c r="AK10" s="2">
        <v>0.5</v>
      </c>
    </row>
    <row r="11" spans="1:37" x14ac:dyDescent="0.3"/>
    <row r="12" spans="1:37" ht="15.6" x14ac:dyDescent="0.3">
      <c r="E12" t="s">
        <v>68</v>
      </c>
      <c r="F12" s="2">
        <v>2.6869999999999998</v>
      </c>
      <c r="G12" t="s">
        <v>69</v>
      </c>
      <c r="I12" s="3"/>
      <c r="K12" s="13" t="s">
        <v>67</v>
      </c>
      <c r="L12" t="s">
        <v>299</v>
      </c>
    </row>
    <row r="13" spans="1:37" ht="15.6" x14ac:dyDescent="0.3">
      <c r="E13" t="s">
        <v>70</v>
      </c>
      <c r="F13" s="2">
        <v>52.14</v>
      </c>
      <c r="G13" t="s">
        <v>71</v>
      </c>
      <c r="I13" s="3"/>
      <c r="K13" s="13" t="s">
        <v>67</v>
      </c>
      <c r="L13" t="s">
        <v>299</v>
      </c>
    </row>
    <row r="14" spans="1:37" ht="15.6" x14ac:dyDescent="0.3">
      <c r="E14" t="s">
        <v>72</v>
      </c>
      <c r="F14" s="2">
        <v>0.26</v>
      </c>
      <c r="G14" t="s">
        <v>203</v>
      </c>
      <c r="I14" s="3"/>
      <c r="K14" s="34" t="s">
        <v>204</v>
      </c>
    </row>
    <row r="15" spans="1:37" x14ac:dyDescent="0.3">
      <c r="E15" t="s">
        <v>205</v>
      </c>
      <c r="F15" s="2">
        <v>10.35</v>
      </c>
      <c r="G15" t="s">
        <v>206</v>
      </c>
      <c r="I15" s="3"/>
      <c r="K15" s="34" t="s">
        <v>207</v>
      </c>
    </row>
    <row r="16" spans="1:37" s="35" customFormat="1" x14ac:dyDescent="0.3">
      <c r="F16"/>
      <c r="I16" s="36"/>
      <c r="K16" s="37"/>
    </row>
    <row r="17" spans="1:12" ht="15.6" x14ac:dyDescent="0.3">
      <c r="E17" s="35" t="s">
        <v>231</v>
      </c>
      <c r="F17" s="38">
        <v>4600</v>
      </c>
      <c r="G17" t="s">
        <v>232</v>
      </c>
      <c r="I17" s="3" t="s">
        <v>229</v>
      </c>
      <c r="K17" s="13" t="s">
        <v>230</v>
      </c>
      <c r="L17" t="s">
        <v>299</v>
      </c>
    </row>
    <row r="18" spans="1:12" x14ac:dyDescent="0.3"/>
    <row r="19" spans="1:12" x14ac:dyDescent="0.3"/>
    <row r="20" spans="1:12" s="78" customFormat="1" x14ac:dyDescent="0.3">
      <c r="A20" s="77" t="s">
        <v>106</v>
      </c>
    </row>
  </sheetData>
  <hyperlinks>
    <hyperlink ref="K12" r:id="rId1" xr:uid="{00000000-0004-0000-0600-000000000000}"/>
    <hyperlink ref="K13" r:id="rId2" xr:uid="{00000000-0004-0000-0600-000001000000}"/>
    <hyperlink ref="K14" r:id="rId3" xr:uid="{00000000-0004-0000-0600-000002000000}"/>
    <hyperlink ref="K15" r:id="rId4" xr:uid="{00000000-0004-0000-0600-000003000000}"/>
    <hyperlink ref="K10" r:id="rId5" xr:uid="{00000000-0004-0000-0600-000004000000}"/>
    <hyperlink ref="K17" r:id="rId6" xr:uid="{00000000-0004-0000-0600-000005000000}"/>
  </hyperlinks>
  <pageMargins left="0.7" right="0.7" top="0.75" bottom="0.75" header="0.3" footer="0.3"/>
  <drawing r:id="rId7"/>
  <legacyDrawing r:id="rId8"/>
  <mc:AlternateContent xmlns:mc="http://schemas.openxmlformats.org/markup-compatibility/2006">
    <mc:Choice Requires="x14">
      <controls>
        <mc:AlternateContent xmlns:mc="http://schemas.openxmlformats.org/markup-compatibility/2006">
          <mc:Choice Requires="x14">
            <control shapeId="9217" r:id="rId9" name="Button 1">
              <controlPr defaultSize="0" print="0" autoFill="0" autoPict="0" macro="[0]!CO2_Previous">
                <anchor moveWithCells="1" sizeWithCells="1">
                  <from>
                    <xdr:col>4</xdr:col>
                    <xdr:colOff>457200</xdr:colOff>
                    <xdr:row>1</xdr:row>
                    <xdr:rowOff>175260</xdr:rowOff>
                  </from>
                  <to>
                    <xdr:col>4</xdr:col>
                    <xdr:colOff>2400300</xdr:colOff>
                    <xdr:row>3</xdr:row>
                    <xdr:rowOff>114300</xdr:rowOff>
                  </to>
                </anchor>
              </controlPr>
            </control>
          </mc:Choice>
        </mc:AlternateContent>
        <mc:AlternateContent xmlns:mc="http://schemas.openxmlformats.org/markup-compatibility/2006">
          <mc:Choice Requires="x14">
            <control shapeId="9219" r:id="rId10" name="Button 3">
              <controlPr defaultSize="0" print="0" autoFill="0" autoPict="0" macro="[0]!CO2_Next">
                <anchor moveWithCells="1" sizeWithCells="1">
                  <from>
                    <xdr:col>8</xdr:col>
                    <xdr:colOff>2727960</xdr:colOff>
                    <xdr:row>1</xdr:row>
                    <xdr:rowOff>175260</xdr:rowOff>
                  </from>
                  <to>
                    <xdr:col>8</xdr:col>
                    <xdr:colOff>4671060</xdr:colOff>
                    <xdr:row>3</xdr:row>
                    <xdr:rowOff>99060</xdr:rowOff>
                  </to>
                </anchor>
              </controlPr>
            </control>
          </mc:Choice>
        </mc:AlternateContent>
        <mc:AlternateContent xmlns:mc="http://schemas.openxmlformats.org/markup-compatibility/2006">
          <mc:Choice Requires="x14">
            <control shapeId="9220" r:id="rId11" name="Button 4">
              <controlPr defaultSize="0" print="0" autoFill="0" autoPict="0" macro="[0]!ToInputMenu">
                <anchor moveWithCells="1" sizeWithCells="1">
                  <from>
                    <xdr:col>6</xdr:col>
                    <xdr:colOff>213360</xdr:colOff>
                    <xdr:row>1</xdr:row>
                    <xdr:rowOff>137160</xdr:rowOff>
                  </from>
                  <to>
                    <xdr:col>8</xdr:col>
                    <xdr:colOff>556260</xdr:colOff>
                    <xdr:row>3</xdr:row>
                    <xdr:rowOff>76200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theme="3"/>
  </sheetPr>
  <dimension ref="A1:S42"/>
  <sheetViews>
    <sheetView view="pageLayout" topLeftCell="A12" workbookViewId="0">
      <selection activeCell="H35" sqref="H35"/>
    </sheetView>
  </sheetViews>
  <sheetFormatPr defaultColWidth="0" defaultRowHeight="13.2" zeroHeight="1" x14ac:dyDescent="0.25"/>
  <cols>
    <col min="1" max="7" width="9.44140625" style="42" customWidth="1"/>
    <col min="8" max="8" width="17.6640625" style="42" customWidth="1"/>
    <col min="9" max="10" width="9.44140625" style="42" customWidth="1"/>
    <col min="11" max="11" width="2.33203125" style="42" customWidth="1"/>
    <col min="12" max="12" width="5.33203125" style="42" customWidth="1"/>
    <col min="13" max="16" width="9.44140625" style="42" customWidth="1"/>
    <col min="17" max="17" width="10.44140625" style="47" customWidth="1"/>
    <col min="18" max="18" width="1.6640625" style="54" customWidth="1"/>
    <col min="19" max="19" width="9.33203125" style="48" hidden="1" customWidth="1"/>
    <col min="20" max="16384" width="9.33203125" style="42" hidden="1"/>
  </cols>
  <sheetData>
    <row r="1" spans="1:18" ht="24.6" x14ac:dyDescent="0.25">
      <c r="A1" s="41" t="str">
        <f ca="1" xml:space="preserve"> RIGHT(CELL("filename", A1), LEN(CELL("filename", A1)) - SEARCH("]", CELL("filename", A1)))</f>
        <v>Output&gt;&gt;</v>
      </c>
      <c r="R1" s="53"/>
    </row>
    <row r="2" spans="1:18" x14ac:dyDescent="0.25"/>
    <row r="3" spans="1:18" x14ac:dyDescent="0.25"/>
    <row r="4" spans="1:18" x14ac:dyDescent="0.25"/>
    <row r="5" spans="1:18" x14ac:dyDescent="0.25"/>
    <row r="6" spans="1:18" x14ac:dyDescent="0.25"/>
    <row r="7" spans="1:18" x14ac:dyDescent="0.25"/>
    <row r="8" spans="1:18" x14ac:dyDescent="0.25"/>
    <row r="9" spans="1:18" x14ac:dyDescent="0.25"/>
    <row r="10" spans="1:18" x14ac:dyDescent="0.25"/>
    <row r="11" spans="1:18" x14ac:dyDescent="0.25"/>
    <row r="12" spans="1:18" x14ac:dyDescent="0.25"/>
    <row r="13" spans="1:18" x14ac:dyDescent="0.25"/>
    <row r="14" spans="1:18" x14ac:dyDescent="0.25"/>
    <row r="15" spans="1:18" x14ac:dyDescent="0.25"/>
    <row r="16" spans="1:18" x14ac:dyDescent="0.25"/>
    <row r="17" spans="8:8" x14ac:dyDescent="0.25"/>
    <row r="18" spans="8:8" x14ac:dyDescent="0.25"/>
    <row r="19" spans="8:8" x14ac:dyDescent="0.25"/>
    <row r="20" spans="8:8" x14ac:dyDescent="0.25"/>
    <row r="21" spans="8:8" x14ac:dyDescent="0.25"/>
    <row r="22" spans="8:8" x14ac:dyDescent="0.25"/>
    <row r="23" spans="8:8" x14ac:dyDescent="0.25"/>
    <row r="24" spans="8:8" x14ac:dyDescent="0.25"/>
    <row r="25" spans="8:8" x14ac:dyDescent="0.25"/>
    <row r="26" spans="8:8" x14ac:dyDescent="0.25"/>
    <row r="27" spans="8:8" x14ac:dyDescent="0.25"/>
    <row r="28" spans="8:8" x14ac:dyDescent="0.25"/>
    <row r="29" spans="8:8" x14ac:dyDescent="0.25"/>
    <row r="30" spans="8:8" x14ac:dyDescent="0.25"/>
    <row r="31" spans="8:8" ht="23.4" thickBot="1" x14ac:dyDescent="0.45">
      <c r="H31" s="52" t="s">
        <v>258</v>
      </c>
    </row>
    <row r="32" spans="8:8" ht="13.8" thickTop="1" x14ac:dyDescent="0.25"/>
    <row r="33" spans="7:19" x14ac:dyDescent="0.25"/>
    <row r="34" spans="7:19" x14ac:dyDescent="0.25"/>
    <row r="35" spans="7:19" x14ac:dyDescent="0.25"/>
    <row r="36" spans="7:19" s="57" customFormat="1" x14ac:dyDescent="0.25">
      <c r="Q36" s="58"/>
      <c r="R36" s="54"/>
      <c r="S36" s="59"/>
    </row>
    <row r="37" spans="7:19" s="57" customFormat="1" x14ac:dyDescent="0.25">
      <c r="G37" s="58"/>
      <c r="H37" s="49" t="s">
        <v>298</v>
      </c>
      <c r="I37" s="59"/>
      <c r="Q37" s="58"/>
      <c r="R37" s="54"/>
      <c r="S37" s="59"/>
    </row>
    <row r="38" spans="7:19" s="57" customFormat="1" x14ac:dyDescent="0.25">
      <c r="H38" s="121"/>
      <c r="Q38" s="58"/>
      <c r="R38" s="54"/>
      <c r="S38" s="59"/>
    </row>
    <row r="39" spans="7:19" s="57" customFormat="1" x14ac:dyDescent="0.25">
      <c r="Q39" s="58"/>
      <c r="R39" s="54"/>
      <c r="S39" s="59"/>
    </row>
    <row r="40" spans="7:19" s="57" customFormat="1" x14ac:dyDescent="0.25">
      <c r="Q40" s="58"/>
      <c r="R40" s="54"/>
      <c r="S40" s="59"/>
    </row>
    <row r="41" spans="7:19" s="80" customFormat="1" x14ac:dyDescent="0.25"/>
    <row r="42" spans="7:19" s="46" customFormat="1" hidden="1" x14ac:dyDescent="0.25">
      <c r="Q42" s="60"/>
      <c r="R42" s="54"/>
      <c r="S42" s="61"/>
    </row>
  </sheetData>
  <phoneticPr fontId="27"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ToResults">
                <anchor moveWithCells="1" sizeWithCells="1">
                  <from>
                    <xdr:col>5</xdr:col>
                    <xdr:colOff>251460</xdr:colOff>
                    <xdr:row>31</xdr:row>
                    <xdr:rowOff>137160</xdr:rowOff>
                  </from>
                  <to>
                    <xdr:col>9</xdr:col>
                    <xdr:colOff>342900</xdr:colOff>
                    <xdr:row>33</xdr:row>
                    <xdr:rowOff>152400</xdr:rowOff>
                  </to>
                </anchor>
              </controlPr>
            </control>
          </mc:Choice>
        </mc:AlternateContent>
        <mc:AlternateContent xmlns:mc="http://schemas.openxmlformats.org/markup-compatibility/2006">
          <mc:Choice Requires="x14">
            <control shapeId="10242" r:id="rId5" name="Button 2">
              <controlPr defaultSize="0" print="0" autoFill="0" autoPict="0" macro="[0]!ToInputMenu">
                <anchor moveWithCells="1" sizeWithCells="1">
                  <from>
                    <xdr:col>5</xdr:col>
                    <xdr:colOff>251460</xdr:colOff>
                    <xdr:row>37</xdr:row>
                    <xdr:rowOff>60960</xdr:rowOff>
                  </from>
                  <to>
                    <xdr:col>9</xdr:col>
                    <xdr:colOff>289560</xdr:colOff>
                    <xdr:row>39</xdr:row>
                    <xdr:rowOff>60960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rgb="FF00B0F0"/>
  </sheetPr>
  <dimension ref="A1:AB63"/>
  <sheetViews>
    <sheetView showGridLines="0" topLeftCell="A10" zoomScale="50" zoomScaleNormal="50" zoomScalePageLayoutView="50" workbookViewId="0">
      <selection activeCell="Q55" sqref="Q55"/>
    </sheetView>
  </sheetViews>
  <sheetFormatPr defaultColWidth="0" defaultRowHeight="14.4" zeroHeight="1" x14ac:dyDescent="0.3"/>
  <cols>
    <col min="1" max="1" width="1.33203125" style="93" customWidth="1"/>
    <col min="2" max="3" width="1.33203125" style="118" customWidth="1"/>
    <col min="4" max="4" width="1.33203125" style="93" customWidth="1"/>
    <col min="5" max="5" width="86.44140625" style="93" bestFit="1" customWidth="1"/>
    <col min="6" max="6" width="20.6640625" style="93" customWidth="1"/>
    <col min="7" max="8" width="20" style="93" customWidth="1"/>
    <col min="9" max="9" width="8.6640625" style="93" customWidth="1"/>
    <col min="10" max="10" width="3.33203125" style="93" customWidth="1"/>
    <col min="11" max="11" width="3.44140625" style="93" customWidth="1"/>
    <col min="12" max="13" width="8.6640625" style="93" customWidth="1"/>
    <col min="14" max="14" width="5" style="93" customWidth="1"/>
    <col min="15" max="15" width="35.44140625" style="93" customWidth="1"/>
    <col min="16" max="16" width="20.6640625" style="93" customWidth="1"/>
    <col min="17" max="17" width="30.6640625" style="93" customWidth="1"/>
    <col min="18" max="18" width="22.44140625" style="93" customWidth="1"/>
    <col min="19" max="19" width="8.6640625" style="93" customWidth="1"/>
    <col min="20" max="20" width="47.6640625" style="93" customWidth="1"/>
    <col min="21" max="21" width="25.33203125" style="93" customWidth="1"/>
    <col min="22" max="22" width="8.6640625" style="93" customWidth="1"/>
    <col min="23" max="23" width="5.33203125" style="93" customWidth="1"/>
    <col min="24" max="24" width="17.44140625" style="93" customWidth="1"/>
    <col min="25" max="25" width="3.33203125" style="93" customWidth="1"/>
    <col min="26" max="26" width="22.33203125" style="93" hidden="1" customWidth="1"/>
    <col min="27" max="27" width="8.6640625" style="93" hidden="1" customWidth="1"/>
    <col min="28" max="28" width="3.44140625" style="93" hidden="1" customWidth="1"/>
    <col min="29" max="29" width="8.6640625" style="93" hidden="1" customWidth="1"/>
    <col min="30" max="16384" width="8.6640625" style="93" hidden="1"/>
  </cols>
  <sheetData>
    <row r="1" spans="1:25" ht="13.2" customHeight="1" x14ac:dyDescent="0.3">
      <c r="A1" s="92"/>
      <c r="B1" s="93"/>
      <c r="C1" s="93"/>
    </row>
    <row r="2" spans="1:25" ht="10.95" customHeight="1" x14ac:dyDescent="0.3">
      <c r="A2" s="92"/>
      <c r="B2" s="93"/>
      <c r="C2" s="93"/>
    </row>
    <row r="3" spans="1:25" s="97" customFormat="1" ht="21.45" customHeight="1" x14ac:dyDescent="0.3">
      <c r="A3" s="94"/>
      <c r="B3" s="95"/>
      <c r="C3" s="95"/>
      <c r="D3" s="95"/>
      <c r="E3" s="96" t="str">
        <f ca="1">MID(CELL("filename",E3),FIND("]",CELL("filename",E3))+1,255)</f>
        <v>Results</v>
      </c>
      <c r="F3" s="95"/>
      <c r="G3" s="95"/>
      <c r="H3" s="95"/>
      <c r="I3" s="95"/>
      <c r="J3" s="95"/>
      <c r="K3" s="95"/>
      <c r="L3" s="95"/>
      <c r="M3" s="95"/>
      <c r="N3" s="95"/>
      <c r="O3" s="95"/>
      <c r="P3" s="95"/>
      <c r="Q3" s="95"/>
      <c r="R3" s="95"/>
      <c r="S3" s="95"/>
      <c r="T3" s="95"/>
      <c r="U3" s="95"/>
      <c r="V3" s="95"/>
      <c r="W3" s="95"/>
      <c r="X3" s="95"/>
      <c r="Y3" s="95"/>
    </row>
    <row r="4" spans="1:25" x14ac:dyDescent="0.3">
      <c r="B4" s="98"/>
      <c r="C4" s="98"/>
      <c r="J4" s="98"/>
      <c r="Y4" s="98"/>
    </row>
    <row r="5" spans="1:25" x14ac:dyDescent="0.3">
      <c r="B5" s="98"/>
      <c r="C5" s="98"/>
      <c r="J5" s="98"/>
      <c r="Y5" s="98"/>
    </row>
    <row r="6" spans="1:25" x14ac:dyDescent="0.3">
      <c r="B6" s="98"/>
      <c r="C6" s="98"/>
      <c r="J6" s="98"/>
      <c r="Y6" s="98"/>
    </row>
    <row r="7" spans="1:25" ht="15.6" x14ac:dyDescent="0.3">
      <c r="B7" s="98"/>
      <c r="C7" s="98"/>
      <c r="E7" s="99" t="str">
        <f>General!$E$8</f>
        <v>Region/state/county name</v>
      </c>
      <c r="F7" s="100" t="str">
        <f>General!F$7</f>
        <v>Darewadi</v>
      </c>
      <c r="J7" s="98"/>
      <c r="Y7" s="98"/>
    </row>
    <row r="8" spans="1:25" ht="15.6" x14ac:dyDescent="0.3">
      <c r="B8" s="98"/>
      <c r="C8" s="98"/>
      <c r="E8" s="99"/>
      <c r="F8" s="99"/>
      <c r="J8" s="98"/>
      <c r="Y8" s="98"/>
    </row>
    <row r="9" spans="1:25" ht="15.6" x14ac:dyDescent="0.3">
      <c r="B9" s="98"/>
      <c r="C9" s="98"/>
      <c r="E9" s="93" t="str">
        <f>General!$E$8</f>
        <v>Region/state/county name</v>
      </c>
      <c r="F9" s="100" t="str">
        <f>General!F$8</f>
        <v>Maharashtra</v>
      </c>
      <c r="J9" s="98"/>
      <c r="Y9" s="98"/>
    </row>
    <row r="10" spans="1:25" ht="15.6" x14ac:dyDescent="0.3">
      <c r="B10" s="98"/>
      <c r="C10" s="98"/>
      <c r="E10" s="99"/>
      <c r="F10" s="99"/>
      <c r="H10" s="93" t="s">
        <v>315</v>
      </c>
      <c r="J10" s="98"/>
      <c r="Y10" s="98"/>
    </row>
    <row r="11" spans="1:25" ht="15.6" x14ac:dyDescent="0.3">
      <c r="B11" s="98"/>
      <c r="C11" s="98"/>
      <c r="E11" s="99" t="str">
        <f>General!$E$9</f>
        <v>Country</v>
      </c>
      <c r="F11" s="100" t="str">
        <f>General!F$9</f>
        <v>India</v>
      </c>
      <c r="J11" s="98"/>
      <c r="Y11" s="98"/>
    </row>
    <row r="12" spans="1:25" ht="15.6" x14ac:dyDescent="0.3">
      <c r="B12" s="98"/>
      <c r="C12" s="98"/>
      <c r="E12" s="99"/>
      <c r="F12" s="99"/>
      <c r="J12" s="98"/>
      <c r="Y12" s="98"/>
    </row>
    <row r="13" spans="1:25" ht="15.6" x14ac:dyDescent="0.3">
      <c r="B13" s="98"/>
      <c r="C13" s="98"/>
      <c r="E13" s="99" t="str">
        <f>General!$E$10</f>
        <v>Currency</v>
      </c>
      <c r="F13" s="100" t="str">
        <f>General!F$10</f>
        <v>£</v>
      </c>
      <c r="J13" s="98"/>
      <c r="Y13" s="98"/>
    </row>
    <row r="14" spans="1:25" ht="15.6" x14ac:dyDescent="0.3">
      <c r="B14" s="98"/>
      <c r="C14" s="98"/>
      <c r="E14" s="99"/>
      <c r="F14" s="99"/>
      <c r="J14" s="98"/>
      <c r="Y14" s="98"/>
    </row>
    <row r="15" spans="1:25" ht="15.6" x14ac:dyDescent="0.3">
      <c r="B15" s="98"/>
      <c r="C15" s="98"/>
      <c r="E15" s="99" t="str">
        <f>General!$E$47</f>
        <v>World Bank Tier</v>
      </c>
      <c r="F15" s="100">
        <f>General!F$47</f>
        <v>0</v>
      </c>
      <c r="J15" s="98"/>
      <c r="Y15" s="98"/>
    </row>
    <row r="16" spans="1:25" x14ac:dyDescent="0.3">
      <c r="B16" s="98"/>
      <c r="C16" s="98"/>
      <c r="J16" s="98"/>
      <c r="Y16" s="98"/>
    </row>
    <row r="17" spans="2:25" x14ac:dyDescent="0.3">
      <c r="B17" s="98"/>
      <c r="C17" s="98"/>
      <c r="J17" s="98"/>
      <c r="Y17" s="98"/>
    </row>
    <row r="18" spans="2:25" ht="15.6" x14ac:dyDescent="0.3">
      <c r="B18" s="98"/>
      <c r="C18" s="98"/>
      <c r="E18" s="93" t="str">
        <f>General!E19</f>
        <v>Number of homes to be connected to the microgrid</v>
      </c>
      <c r="F18" s="127">
        <f>General!F$18</f>
        <v>45</v>
      </c>
      <c r="J18" s="98"/>
      <c r="Y18" s="98"/>
    </row>
    <row r="19" spans="2:25" ht="15.6" x14ac:dyDescent="0.3">
      <c r="B19" s="98"/>
      <c r="C19" s="98"/>
      <c r="E19" s="93" t="str">
        <f>Cashflow!E74</f>
        <v>Percentage of homes connected to the microgrid</v>
      </c>
      <c r="F19" s="127">
        <f>Cashflow!F$76</f>
        <v>15</v>
      </c>
      <c r="J19" s="98"/>
      <c r="Y19" s="98"/>
    </row>
    <row r="20" spans="2:25" x14ac:dyDescent="0.3">
      <c r="B20" s="98"/>
      <c r="C20" s="98"/>
      <c r="J20" s="98"/>
      <c r="Y20" s="98"/>
    </row>
    <row r="21" spans="2:25" x14ac:dyDescent="0.3">
      <c r="B21" s="98"/>
      <c r="C21" s="98"/>
      <c r="F21" s="126" t="s">
        <v>276</v>
      </c>
      <c r="G21" s="126" t="s">
        <v>38</v>
      </c>
      <c r="H21" s="101"/>
      <c r="J21" s="98"/>
      <c r="Y21" s="98"/>
    </row>
    <row r="22" spans="2:25" ht="15.6" x14ac:dyDescent="0.3">
      <c r="B22" s="98"/>
      <c r="C22" s="98"/>
      <c r="E22" s="107" t="str">
        <f>General!E22</f>
        <v>Number of commercial properties to be connected by the microgrid</v>
      </c>
      <c r="F22" s="124">
        <f>General!F$19</f>
        <v>30</v>
      </c>
      <c r="G22" s="125">
        <f>Cashflow!F$74</f>
        <v>0.66666666666666663</v>
      </c>
      <c r="H22" s="102"/>
      <c r="J22" s="98"/>
      <c r="Y22" s="98"/>
    </row>
    <row r="23" spans="2:25" ht="15.6" x14ac:dyDescent="0.3">
      <c r="B23" s="98"/>
      <c r="C23" s="98"/>
      <c r="E23" s="107" t="str">
        <f>Cashflow!E77</f>
        <v>Number of commercial properties to be connected by the microgrid</v>
      </c>
      <c r="F23" s="124">
        <f>Cashflow!F$77</f>
        <v>12</v>
      </c>
      <c r="G23" s="125">
        <f>Cashflow!F$78</f>
        <v>0.8</v>
      </c>
      <c r="H23" s="102"/>
      <c r="J23" s="98"/>
      <c r="Y23" s="98"/>
    </row>
    <row r="24" spans="2:25" x14ac:dyDescent="0.3">
      <c r="B24" s="98"/>
      <c r="C24" s="98"/>
      <c r="J24" s="98"/>
      <c r="Y24" s="98"/>
    </row>
    <row r="25" spans="2:25" x14ac:dyDescent="0.3">
      <c r="B25" s="98"/>
      <c r="C25" s="98"/>
      <c r="E25" s="159"/>
      <c r="F25" s="160" t="str">
        <f>F13</f>
        <v>£</v>
      </c>
      <c r="J25" s="98"/>
      <c r="Y25" s="98"/>
    </row>
    <row r="26" spans="2:25" x14ac:dyDescent="0.3">
      <c r="B26" s="98"/>
      <c r="C26" s="98"/>
      <c r="E26" s="83" t="s">
        <v>311</v>
      </c>
      <c r="F26" s="158">
        <f>Cashflow!J15</f>
        <v>4760</v>
      </c>
      <c r="J26" s="98"/>
      <c r="Y26" s="98"/>
    </row>
    <row r="27" spans="2:25" x14ac:dyDescent="0.3">
      <c r="B27" s="98"/>
      <c r="C27" s="98"/>
      <c r="E27" s="83" t="s">
        <v>312</v>
      </c>
      <c r="F27" s="158">
        <f>Cashflow!H23</f>
        <v>7291.8528643614318</v>
      </c>
      <c r="G27" s="103"/>
      <c r="J27" s="98"/>
      <c r="Y27" s="98"/>
    </row>
    <row r="28" spans="2:25" x14ac:dyDescent="0.3">
      <c r="B28" s="98"/>
      <c r="C28" s="98"/>
      <c r="E28" s="157" t="s">
        <v>316</v>
      </c>
      <c r="F28" s="158">
        <f>Cashflow!H44</f>
        <v>8240</v>
      </c>
      <c r="G28" s="103"/>
      <c r="J28" s="98"/>
      <c r="Y28" s="98"/>
    </row>
    <row r="29" spans="2:25" x14ac:dyDescent="0.3">
      <c r="B29" s="98"/>
      <c r="C29" s="98"/>
      <c r="E29" s="156"/>
      <c r="F29" s="112"/>
      <c r="G29" s="103"/>
      <c r="J29" s="98"/>
      <c r="Y29" s="98"/>
    </row>
    <row r="30" spans="2:25" x14ac:dyDescent="0.3">
      <c r="B30" s="98"/>
      <c r="C30" s="98"/>
      <c r="E30" s="1" t="s">
        <v>336</v>
      </c>
      <c r="F30" s="166">
        <f>Cashflow!F274</f>
        <v>1.192439061190308E-2</v>
      </c>
      <c r="G30" s="155" t="str">
        <f>Cashflow!G274</f>
        <v>£/kWh</v>
      </c>
      <c r="J30" s="98"/>
      <c r="Y30" s="98"/>
    </row>
    <row r="31" spans="2:25" x14ac:dyDescent="0.3">
      <c r="B31" s="98"/>
      <c r="C31" s="98"/>
      <c r="E31" s="1"/>
      <c r="J31" s="98"/>
      <c r="Y31" s="98"/>
    </row>
    <row r="32" spans="2:25" ht="19.5" customHeight="1" x14ac:dyDescent="0.3">
      <c r="B32" s="98"/>
      <c r="C32" s="98"/>
      <c r="E32" s="104" t="s">
        <v>196</v>
      </c>
      <c r="J32" s="98"/>
      <c r="Y32" s="98"/>
    </row>
    <row r="33" spans="2:25" x14ac:dyDescent="0.3">
      <c r="B33" s="98"/>
      <c r="C33" s="98"/>
      <c r="E33" s="105" t="s">
        <v>277</v>
      </c>
      <c r="F33" s="55" t="str">
        <f>'Revenue &amp; Electricity Consump'!F28</f>
        <v>Yes</v>
      </c>
      <c r="J33" s="98"/>
      <c r="Y33" s="98"/>
    </row>
    <row r="34" spans="2:25" x14ac:dyDescent="0.3">
      <c r="B34" s="98"/>
      <c r="C34" s="98"/>
      <c r="J34" s="98"/>
      <c r="Y34" s="98"/>
    </row>
    <row r="35" spans="2:25" x14ac:dyDescent="0.3">
      <c r="B35" s="98"/>
      <c r="C35" s="98"/>
      <c r="E35" s="90" t="str">
        <f>'Revenue &amp; Electricity Consump'!E39</f>
        <v>Option 1 - Fixed cost per residential rate</v>
      </c>
      <c r="F35" s="106">
        <f>'Revenue &amp; Electricity Consump'!F39</f>
        <v>5</v>
      </c>
      <c r="G35" s="90" t="str">
        <f>'Revenue &amp; Electricity Consump'!G39</f>
        <v>£/dwelling/month</v>
      </c>
      <c r="J35" s="98"/>
      <c r="Y35" s="98"/>
    </row>
    <row r="36" spans="2:25" x14ac:dyDescent="0.3">
      <c r="B36" s="98"/>
      <c r="C36" s="98"/>
      <c r="E36" s="90" t="str">
        <f>'Revenue &amp; Electricity Consump'!E40</f>
        <v>Option 1 - Fixed cost per commercial dwelling rate</v>
      </c>
      <c r="F36" s="106">
        <f>'Revenue &amp; Electricity Consump'!F40</f>
        <v>5</v>
      </c>
      <c r="G36" s="90" t="str">
        <f>'Revenue &amp; Electricity Consump'!G40</f>
        <v>£/dwelling/month</v>
      </c>
      <c r="J36" s="98"/>
      <c r="Y36" s="98"/>
    </row>
    <row r="37" spans="2:25" x14ac:dyDescent="0.3">
      <c r="B37" s="98"/>
      <c r="C37" s="98"/>
      <c r="J37" s="98"/>
      <c r="Y37" s="98"/>
    </row>
    <row r="38" spans="2:25" ht="38.25" customHeight="1" x14ac:dyDescent="0.3">
      <c r="B38" s="98"/>
      <c r="C38" s="98"/>
      <c r="E38" s="107" t="str">
        <f>Cashflow!E$243</f>
        <v>Pre-tax Net Present Value (25 year) - option 1</v>
      </c>
      <c r="F38" s="108">
        <f>Cashflow!F$243</f>
        <v>13874.137164868893</v>
      </c>
      <c r="G38" s="56" t="str">
        <f>Cashflow!G$243</f>
        <v>£</v>
      </c>
      <c r="J38" s="98"/>
      <c r="Y38" s="98"/>
    </row>
    <row r="39" spans="2:25" ht="15.6" x14ac:dyDescent="0.3">
      <c r="B39" s="98"/>
      <c r="C39" s="98"/>
      <c r="E39" s="93" t="str">
        <f>Cashflow!E$244</f>
        <v xml:space="preserve">Pre-tax Internal Rate of Return (25 year) - option 1 </v>
      </c>
      <c r="F39" s="109">
        <f>Cashflow!F$244</f>
        <v>0.34328496030825217</v>
      </c>
      <c r="G39" s="110" t="str">
        <f>Cashflow!G$244</f>
        <v>%</v>
      </c>
      <c r="J39" s="98"/>
      <c r="Y39" s="98"/>
    </row>
    <row r="40" spans="2:25" x14ac:dyDescent="0.3">
      <c r="B40" s="98"/>
      <c r="C40" s="98"/>
      <c r="J40" s="98"/>
      <c r="Y40" s="98"/>
    </row>
    <row r="41" spans="2:25" x14ac:dyDescent="0.3">
      <c r="B41" s="98"/>
      <c r="C41" s="98"/>
      <c r="J41" s="98"/>
      <c r="Y41" s="98"/>
    </row>
    <row r="42" spans="2:25" ht="18" x14ac:dyDescent="0.3">
      <c r="B42" s="98"/>
      <c r="C42" s="98"/>
      <c r="E42" s="104" t="s">
        <v>278</v>
      </c>
      <c r="J42" s="98"/>
      <c r="Y42" s="98"/>
    </row>
    <row r="43" spans="2:25" x14ac:dyDescent="0.3">
      <c r="B43" s="98"/>
      <c r="C43" s="98"/>
      <c r="E43" s="105" t="s">
        <v>279</v>
      </c>
      <c r="F43" s="55" t="str">
        <f>'Revenue &amp; Electricity Consump'!F$30</f>
        <v>Yes</v>
      </c>
      <c r="J43" s="98"/>
      <c r="Y43" s="98"/>
    </row>
    <row r="44" spans="2:25" x14ac:dyDescent="0.3">
      <c r="B44" s="98"/>
      <c r="C44" s="98"/>
      <c r="J44" s="98"/>
      <c r="Y44" s="98"/>
    </row>
    <row r="45" spans="2:25" x14ac:dyDescent="0.3">
      <c r="B45" s="98"/>
      <c r="C45" s="98"/>
      <c r="E45" s="90" t="str">
        <f>'Revenue &amp; Electricity Consump'!E$42</f>
        <v xml:space="preserve">Option 2 - Per kWh consumed for residential </v>
      </c>
      <c r="F45" s="106">
        <f>'Revenue &amp; Electricity Consump'!F$42</f>
        <v>0.2</v>
      </c>
      <c r="G45" s="90" t="str">
        <f>'Revenue &amp; Electricity Consump'!G$42</f>
        <v>£/kWh</v>
      </c>
      <c r="J45" s="98"/>
      <c r="Y45" s="98"/>
    </row>
    <row r="46" spans="2:25" x14ac:dyDescent="0.3">
      <c r="B46" s="98"/>
      <c r="C46" s="98"/>
      <c r="E46" s="90" t="str">
        <f>'Revenue &amp; Electricity Consump'!E$43</f>
        <v>Option 2 - Per kWh consumed for commercial</v>
      </c>
      <c r="F46" s="106">
        <f>'Revenue &amp; Electricity Consump'!F$43</f>
        <v>0.2</v>
      </c>
      <c r="G46" s="90" t="str">
        <f>'Revenue &amp; Electricity Consump'!G$43</f>
        <v>£/kWh</v>
      </c>
      <c r="J46" s="98"/>
      <c r="Y46" s="98"/>
    </row>
    <row r="47" spans="2:25" x14ac:dyDescent="0.3">
      <c r="B47" s="98"/>
      <c r="C47" s="98"/>
      <c r="J47" s="98"/>
      <c r="Y47" s="98"/>
    </row>
    <row r="48" spans="2:25" ht="33.75" customHeight="1" x14ac:dyDescent="0.3">
      <c r="B48" s="98"/>
      <c r="C48" s="98"/>
      <c r="E48" s="93" t="str">
        <f>Cashflow!E$252</f>
        <v>Pre-tax Net Present Value (25 year) - option 2</v>
      </c>
      <c r="F48" s="111">
        <f>Cashflow!F$252</f>
        <v>91115.176657636403</v>
      </c>
      <c r="G48" s="112" t="str">
        <f>Cashflow!G$252</f>
        <v>£</v>
      </c>
      <c r="J48" s="98"/>
      <c r="Y48" s="98"/>
    </row>
    <row r="49" spans="2:25" ht="15.6" x14ac:dyDescent="0.3">
      <c r="B49" s="98"/>
      <c r="C49" s="98"/>
      <c r="E49" s="93" t="str">
        <f>Cashflow!E$253</f>
        <v>Pre-tax Internal Rate of Return (25 year) - option 2</v>
      </c>
      <c r="F49" s="109">
        <f>Cashflow!F$253</f>
        <v>1.8047819445589313</v>
      </c>
      <c r="G49" s="112" t="str">
        <f>Cashflow!G$253</f>
        <v>%</v>
      </c>
      <c r="J49" s="98"/>
      <c r="Y49" s="98"/>
    </row>
    <row r="50" spans="2:25" x14ac:dyDescent="0.3">
      <c r="B50" s="98"/>
      <c r="C50" s="98"/>
      <c r="J50" s="98"/>
      <c r="Y50" s="98"/>
    </row>
    <row r="51" spans="2:25" ht="21" x14ac:dyDescent="0.3">
      <c r="B51" s="98"/>
      <c r="C51" s="98"/>
      <c r="J51" s="98"/>
      <c r="K51" s="113" t="s">
        <v>284</v>
      </c>
      <c r="L51" s="98"/>
      <c r="M51" s="98"/>
      <c r="N51" s="98"/>
      <c r="O51" s="98"/>
      <c r="P51" s="98"/>
      <c r="Q51" s="98"/>
      <c r="R51" s="98"/>
      <c r="S51" s="98"/>
      <c r="T51" s="98"/>
      <c r="U51" s="98"/>
      <c r="V51" s="98"/>
      <c r="W51" s="98"/>
      <c r="X51" s="98"/>
      <c r="Y51" s="98"/>
    </row>
    <row r="52" spans="2:25" ht="30.45" customHeight="1" x14ac:dyDescent="0.3">
      <c r="B52" s="98"/>
      <c r="C52" s="98"/>
      <c r="E52" s="104" t="s">
        <v>199</v>
      </c>
      <c r="J52" s="98"/>
      <c r="Y52" s="98"/>
    </row>
    <row r="53" spans="2:25" ht="45.75" customHeight="1" x14ac:dyDescent="0.3">
      <c r="B53" s="98"/>
      <c r="C53" s="98"/>
      <c r="E53" s="89" t="s">
        <v>280</v>
      </c>
      <c r="F53" s="55" t="str">
        <f>'Revenue &amp; Electricity Consump'!F$32</f>
        <v>Yes</v>
      </c>
      <c r="J53" s="98"/>
      <c r="P53" s="85" t="s">
        <v>283</v>
      </c>
      <c r="Q53" s="85" t="s">
        <v>287</v>
      </c>
      <c r="S53" s="104" t="s">
        <v>291</v>
      </c>
      <c r="Y53" s="98"/>
    </row>
    <row r="54" spans="2:25" ht="22.5" customHeight="1" x14ac:dyDescent="0.3">
      <c r="B54" s="98"/>
      <c r="C54" s="98"/>
      <c r="E54" s="90" t="str">
        <f>'Revenue &amp; Electricity Consump'!E$45</f>
        <v>Option 3 - Fixed cost for residentials</v>
      </c>
      <c r="F54" s="91">
        <f>'Revenue &amp; Electricity Consump'!F$45</f>
        <v>2</v>
      </c>
      <c r="G54" s="90" t="str">
        <f>'Revenue &amp; Electricity Consump'!G$45</f>
        <v>£/dwelling/month</v>
      </c>
      <c r="J54" s="98"/>
      <c r="O54" s="83" t="s">
        <v>285</v>
      </c>
      <c r="P54" s="84" t="str">
        <f>General!$F$27</f>
        <v>Kerosene</v>
      </c>
      <c r="Q54" s="114">
        <f>'Carbon Analysis &amp; Existing Fuel'!F$43</f>
        <v>145314</v>
      </c>
      <c r="T54" s="93" t="s">
        <v>288</v>
      </c>
      <c r="U54" s="86">
        <f>'Carbon Analysis &amp; Existing Fuel'!$F77</f>
        <v>3716496</v>
      </c>
      <c r="V54" s="56" t="str">
        <f>'Carbon Analysis &amp; Existing Fuel'!$G$77</f>
        <v>£</v>
      </c>
      <c r="Y54" s="98"/>
    </row>
    <row r="55" spans="2:25" ht="19.95" customHeight="1" x14ac:dyDescent="0.3">
      <c r="B55" s="98"/>
      <c r="C55" s="98"/>
      <c r="E55" s="90" t="str">
        <f>'Revenue &amp; Electricity Consump'!E$46</f>
        <v>Option 3 - Fixed cost for commercial</v>
      </c>
      <c r="F55" s="91">
        <f>'Revenue &amp; Electricity Consump'!F$46</f>
        <v>2</v>
      </c>
      <c r="G55" s="90" t="str">
        <f>'Revenue &amp; Electricity Consump'!G$46</f>
        <v>£/dwelling/month</v>
      </c>
      <c r="J55" s="98"/>
      <c r="O55" s="83" t="s">
        <v>286</v>
      </c>
      <c r="P55" s="84" t="str">
        <f>General!$F$31</f>
        <v>Kerosene</v>
      </c>
      <c r="Q55" s="114">
        <f>'Carbon Analysis &amp; Existing Fuel'!F44</f>
        <v>363285.00000000006</v>
      </c>
      <c r="T55" s="93" t="s">
        <v>289</v>
      </c>
      <c r="U55" s="86">
        <f>'Carbon Analysis &amp; Existing Fuel'!$F78</f>
        <v>3487398.4975813245</v>
      </c>
      <c r="V55" s="56" t="str">
        <f>'Carbon Analysis &amp; Existing Fuel'!$G$77</f>
        <v>£</v>
      </c>
      <c r="Y55" s="98"/>
    </row>
    <row r="56" spans="2:25" ht="19.2" customHeight="1" x14ac:dyDescent="0.3">
      <c r="B56" s="98"/>
      <c r="C56" s="98"/>
      <c r="E56" s="90" t="str">
        <f>'Revenue &amp; Electricity Consump'!E$47</f>
        <v>Option 3 - Per kWh consumed for residentials</v>
      </c>
      <c r="F56" s="91">
        <f>'Revenue &amp; Electricity Consump'!F$47</f>
        <v>0.15</v>
      </c>
      <c r="G56" s="90" t="str">
        <f>'Revenue &amp; Electricity Consump'!G$47</f>
        <v>£/kWh</v>
      </c>
      <c r="J56" s="98"/>
      <c r="T56" s="93" t="s">
        <v>290</v>
      </c>
      <c r="U56" s="86">
        <f>'Carbon Analysis &amp; Existing Fuel'!$F79</f>
        <v>3273928.7822143105</v>
      </c>
      <c r="V56" s="56" t="str">
        <f>'Carbon Analysis &amp; Existing Fuel'!$G$77</f>
        <v>£</v>
      </c>
      <c r="Y56" s="98"/>
    </row>
    <row r="57" spans="2:25" ht="30.45" customHeight="1" x14ac:dyDescent="0.3">
      <c r="B57" s="98"/>
      <c r="C57" s="98"/>
      <c r="E57" s="90" t="str">
        <f>'Revenue &amp; Electricity Consump'!E$48</f>
        <v>Option 3 - Per kWh consumed for commercial</v>
      </c>
      <c r="F57" s="91">
        <f>'Revenue &amp; Electricity Consump'!F$48</f>
        <v>0.15</v>
      </c>
      <c r="G57" s="90" t="str">
        <f>'Revenue &amp; Electricity Consump'!G$48</f>
        <v>£/kWh</v>
      </c>
      <c r="J57" s="98"/>
      <c r="O57" s="107" t="str">
        <f>'Carbon Analysis &amp; Existing Fuel'!E$47</f>
        <v>By moving to a renewable grid</v>
      </c>
      <c r="P57" s="111">
        <f>'Carbon Analysis &amp; Existing Fuel'!F$47</f>
        <v>111</v>
      </c>
      <c r="Q57" s="115" t="str">
        <f>'Carbon Analysis &amp; Existing Fuel'!G$47</f>
        <v>number of cars worth of emission (as of 2018) can be saved in its lifetime</v>
      </c>
      <c r="Y57" s="98"/>
    </row>
    <row r="58" spans="2:25" x14ac:dyDescent="0.3">
      <c r="B58" s="98"/>
      <c r="C58" s="98"/>
      <c r="J58" s="98"/>
      <c r="O58" s="107"/>
      <c r="P58" s="112"/>
      <c r="Y58" s="98"/>
    </row>
    <row r="59" spans="2:25" ht="43.2" x14ac:dyDescent="0.3">
      <c r="B59" s="98"/>
      <c r="C59" s="98"/>
      <c r="E59" s="93" t="str">
        <f>Cashflow!E$261</f>
        <v>Pre-tax Net Present Value (25 year) - option 3</v>
      </c>
      <c r="F59" s="111">
        <f>Cashflow!F$261</f>
        <v>169000.99295288243</v>
      </c>
      <c r="G59" s="112" t="str">
        <f>Cashflow!G$261</f>
        <v>£</v>
      </c>
      <c r="J59" s="98"/>
      <c r="O59" s="107" t="str">
        <f>'Carbon Analysis &amp; Existing Fuel'!E$57</f>
        <v>Compared to the current grid</v>
      </c>
      <c r="P59" s="111">
        <f>'Carbon Analysis &amp; Existing Fuel'!F$57</f>
        <v>155</v>
      </c>
      <c r="Q59" s="115" t="str">
        <f>'Carbon Analysis &amp; Existing Fuel'!G$57</f>
        <v>number of cars worth of emission (as of 2018) can be saved in its lifetime</v>
      </c>
      <c r="Y59" s="98"/>
    </row>
    <row r="60" spans="2:25" ht="15.6" x14ac:dyDescent="0.3">
      <c r="B60" s="98"/>
      <c r="C60" s="98"/>
      <c r="E60" s="93" t="str">
        <f>Cashflow!E$262</f>
        <v>Pre-tax Internal Rate of Return (25 year) - option 3</v>
      </c>
      <c r="F60" s="109">
        <f>Cashflow!F$262</f>
        <v>3.4550694187910516</v>
      </c>
      <c r="G60" s="112" t="str">
        <f>Cashflow!G$262</f>
        <v>%</v>
      </c>
      <c r="J60" s="98"/>
      <c r="Y60" s="98"/>
    </row>
    <row r="61" spans="2:25" x14ac:dyDescent="0.3">
      <c r="B61" s="98"/>
      <c r="C61" s="98"/>
      <c r="J61" s="98"/>
      <c r="Y61" s="98"/>
    </row>
    <row r="62" spans="2:25" x14ac:dyDescent="0.3">
      <c r="B62" s="98"/>
      <c r="C62" s="98"/>
      <c r="J62" s="98"/>
      <c r="Y62" s="98"/>
    </row>
    <row r="63" spans="2:25" s="116" customFormat="1" x14ac:dyDescent="0.3">
      <c r="B63" s="117" t="s">
        <v>106</v>
      </c>
    </row>
  </sheetData>
  <conditionalFormatting sqref="F38">
    <cfRule type="cellIs" dxfId="8" priority="11" operator="lessThan">
      <formula>0</formula>
    </cfRule>
    <cfRule type="cellIs" dxfId="7" priority="12" operator="greaterThan">
      <formula>0</formula>
    </cfRule>
  </conditionalFormatting>
  <conditionalFormatting sqref="F48">
    <cfRule type="cellIs" dxfId="6" priority="9" operator="lessThan">
      <formula>0</formula>
    </cfRule>
    <cfRule type="cellIs" dxfId="5" priority="10" operator="greaterThan">
      <formula>0</formula>
    </cfRule>
  </conditionalFormatting>
  <conditionalFormatting sqref="F59">
    <cfRule type="cellIs" dxfId="4" priority="7" operator="lessThan">
      <formula>0</formula>
    </cfRule>
    <cfRule type="cellIs" dxfId="3" priority="8" operator="greaterThan">
      <formula>0</formula>
    </cfRule>
  </conditionalFormatting>
  <conditionalFormatting sqref="P57">
    <cfRule type="cellIs" dxfId="2" priority="6" operator="greaterThan">
      <formula>0</formula>
    </cfRule>
  </conditionalFormatting>
  <conditionalFormatting sqref="P59">
    <cfRule type="cellIs" dxfId="1" priority="4" operator="greaterThan">
      <formula>0</formula>
    </cfRule>
  </conditionalFormatting>
  <conditionalFormatting sqref="U54:U56">
    <cfRule type="cellIs" dxfId="0" priority="3" operator="greaterThan">
      <formula>0</formula>
    </cfRule>
  </conditionalFormatting>
  <pageMargins left="0.7" right="0.7"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Fill="0" autoPict="0" macro="[0]!ToInputMenu">
                <anchor moveWithCells="1" sizeWithCells="1">
                  <from>
                    <xdr:col>19</xdr:col>
                    <xdr:colOff>1851660</xdr:colOff>
                    <xdr:row>58</xdr:row>
                    <xdr:rowOff>152400</xdr:rowOff>
                  </from>
                  <to>
                    <xdr:col>20</xdr:col>
                    <xdr:colOff>1051560</xdr:colOff>
                    <xdr:row>59</xdr:row>
                    <xdr:rowOff>60960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theme="3"/>
  </sheetPr>
  <dimension ref="A1:S38"/>
  <sheetViews>
    <sheetView view="pageLayout" topLeftCell="A1048576" workbookViewId="0">
      <selection activeCell="A17" sqref="A17"/>
    </sheetView>
  </sheetViews>
  <sheetFormatPr defaultColWidth="0" defaultRowHeight="13.2" zeroHeight="1" x14ac:dyDescent="0.25"/>
  <cols>
    <col min="1" max="16" width="9.44140625" style="42" customWidth="1"/>
    <col min="17" max="17" width="9.44140625" style="47" customWidth="1"/>
    <col min="18" max="18" width="2.44140625" style="62" customWidth="1"/>
    <col min="19" max="19" width="8.6640625" style="48" hidden="1" customWidth="1"/>
    <col min="20" max="16384" width="8.6640625" style="42" hidden="1"/>
  </cols>
  <sheetData>
    <row r="1" spans="1:1" ht="24.6" x14ac:dyDescent="0.25">
      <c r="A1" s="41" t="str">
        <f ca="1" xml:space="preserve"> RIGHT(CELL("filename", A1), LEN(CELL("filename", A1)) - SEARCH("]", CELL("filename", A1)))</f>
        <v>Calculation&gt;&gt;</v>
      </c>
    </row>
    <row r="2" spans="1:1" x14ac:dyDescent="0.25"/>
    <row r="3" spans="1:1" x14ac:dyDescent="0.25"/>
    <row r="4" spans="1:1" x14ac:dyDescent="0.25"/>
    <row r="5" spans="1:1" x14ac:dyDescent="0.25"/>
    <row r="6" spans="1:1" x14ac:dyDescent="0.25"/>
    <row r="7" spans="1:1" x14ac:dyDescent="0.25"/>
    <row r="8" spans="1:1" x14ac:dyDescent="0.25"/>
    <row r="9" spans="1:1" x14ac:dyDescent="0.25"/>
    <row r="10" spans="1:1" x14ac:dyDescent="0.25"/>
    <row r="11" spans="1:1" x14ac:dyDescent="0.25"/>
    <row r="12" spans="1:1" x14ac:dyDescent="0.25"/>
    <row r="13" spans="1:1" x14ac:dyDescent="0.25"/>
    <row r="14" spans="1:1" x14ac:dyDescent="0.25"/>
    <row r="15" spans="1:1" x14ac:dyDescent="0.25"/>
    <row r="16" spans="1:1" x14ac:dyDescent="0.25"/>
    <row r="17" x14ac:dyDescent="0.25"/>
    <row r="18" x14ac:dyDescent="0.25"/>
    <row r="19" x14ac:dyDescent="0.25"/>
    <row r="20" x14ac:dyDescent="0.25"/>
    <row r="21" x14ac:dyDescent="0.25"/>
    <row r="22" x14ac:dyDescent="0.25"/>
    <row r="23" x14ac:dyDescent="0.25"/>
    <row r="24" x14ac:dyDescent="0.25"/>
    <row r="25" x14ac:dyDescent="0.25"/>
    <row r="26" x14ac:dyDescent="0.25"/>
    <row r="27" x14ac:dyDescent="0.25"/>
    <row r="28" x14ac:dyDescent="0.25"/>
    <row r="29" x14ac:dyDescent="0.25"/>
    <row r="30" x14ac:dyDescent="0.25"/>
    <row r="31" x14ac:dyDescent="0.25"/>
    <row r="32" x14ac:dyDescent="0.25"/>
    <row r="33" spans="17:19" x14ac:dyDescent="0.25"/>
    <row r="34" spans="17:19" x14ac:dyDescent="0.25"/>
    <row r="35" spans="17:19" x14ac:dyDescent="0.25"/>
    <row r="36" spans="17:19" s="57" customFormat="1" ht="13.8" thickBot="1" x14ac:dyDescent="0.3">
      <c r="Q36" s="58"/>
      <c r="R36" s="62"/>
      <c r="S36" s="59"/>
    </row>
    <row r="37" spans="17:19" s="79" customFormat="1" ht="13.8" thickBot="1" x14ac:dyDescent="0.3">
      <c r="Q37" s="81"/>
      <c r="R37" s="62"/>
      <c r="S37" s="82"/>
    </row>
    <row r="38" spans="17:19" s="46" customFormat="1" hidden="1" x14ac:dyDescent="0.25">
      <c r="Q38" s="60"/>
      <c r="R38" s="62"/>
      <c r="S38" s="61"/>
    </row>
  </sheetData>
  <phoneticPr fontId="27" type="noConversion"/>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rgb="FF00B0F0"/>
  </sheetPr>
  <dimension ref="A1:AE60"/>
  <sheetViews>
    <sheetView topLeftCell="A11" workbookViewId="0">
      <selection activeCell="A37" sqref="A37"/>
    </sheetView>
  </sheetViews>
  <sheetFormatPr defaultColWidth="8.77734375" defaultRowHeight="14.4" x14ac:dyDescent="0.3"/>
  <cols>
    <col min="1" max="4" width="1.6640625" customWidth="1"/>
    <col min="5" max="5" width="77" bestFit="1" customWidth="1"/>
  </cols>
  <sheetData>
    <row r="1" spans="1:7" ht="25.8" x14ac:dyDescent="0.3">
      <c r="A1" s="6" t="str">
        <f ca="1">MID(CELL("filename",A1),FIND("]",CELL("filename",A1))+1,255)</f>
        <v>Time</v>
      </c>
    </row>
    <row r="4" spans="1:7" x14ac:dyDescent="0.3">
      <c r="E4" s="10" t="str">
        <f>General!E41</f>
        <v>Starting year</v>
      </c>
      <c r="F4" s="10">
        <f>General!F41</f>
        <v>2020</v>
      </c>
    </row>
    <row r="5" spans="1:7" x14ac:dyDescent="0.3">
      <c r="E5" s="10" t="str">
        <f>General!E42</f>
        <v>Lifespan</v>
      </c>
      <c r="F5" s="10">
        <f>General!F42</f>
        <v>25</v>
      </c>
      <c r="G5" s="10" t="str">
        <f>General!G42</f>
        <v>years</v>
      </c>
    </row>
    <row r="6" spans="1:7" x14ac:dyDescent="0.3">
      <c r="E6" s="12" t="s">
        <v>57</v>
      </c>
      <c r="F6" s="4">
        <f>F4+F5</f>
        <v>2045</v>
      </c>
      <c r="G6" s="10"/>
    </row>
    <row r="8" spans="1:7" x14ac:dyDescent="0.3">
      <c r="E8" s="10" t="str">
        <f>Time!E4</f>
        <v>Starting year</v>
      </c>
      <c r="F8" s="10">
        <f>Time!F4</f>
        <v>2020</v>
      </c>
    </row>
    <row r="9" spans="1:7" x14ac:dyDescent="0.3">
      <c r="E9" s="10" t="str">
        <f>Time!E5</f>
        <v>Lifespan</v>
      </c>
      <c r="F9" s="10">
        <f>Time!F5</f>
        <v>25</v>
      </c>
      <c r="G9" s="10" t="str">
        <f>Time!G5</f>
        <v>years</v>
      </c>
    </row>
    <row r="10" spans="1:7" x14ac:dyDescent="0.3">
      <c r="E10" s="10" t="str">
        <f>Time!E6</f>
        <v>Last year in this model</v>
      </c>
      <c r="F10" s="10">
        <f>Time!F6</f>
        <v>2045</v>
      </c>
      <c r="G10" s="10"/>
    </row>
    <row r="12" spans="1:7" x14ac:dyDescent="0.3">
      <c r="E12" t="s">
        <v>73</v>
      </c>
      <c r="G12" t="s">
        <v>125</v>
      </c>
    </row>
    <row r="13" spans="1:7" x14ac:dyDescent="0.3">
      <c r="E13" s="10" t="str">
        <f>'Revenue &amp; Electricity Consump'!E53</f>
        <v>Year of first price rise</v>
      </c>
      <c r="F13" s="10">
        <f>'Revenue &amp; Electricity Consump'!F53</f>
        <v>2025</v>
      </c>
      <c r="G13" s="4">
        <f>IF(F13=0,$F$10,F13)</f>
        <v>2025</v>
      </c>
    </row>
    <row r="14" spans="1:7" x14ac:dyDescent="0.3">
      <c r="E14" s="10" t="str">
        <f>'Revenue &amp; Electricity Consump'!E54</f>
        <v>Year of second price rise</v>
      </c>
      <c r="F14" s="10">
        <f>'Revenue &amp; Electricity Consump'!F54</f>
        <v>2030</v>
      </c>
      <c r="G14" s="4">
        <f>IF(F14=0,$F$10,F14)</f>
        <v>2030</v>
      </c>
    </row>
    <row r="15" spans="1:7" x14ac:dyDescent="0.3">
      <c r="E15" s="10" t="str">
        <f>'Revenue &amp; Electricity Consump'!E55</f>
        <v>Year of third price rise</v>
      </c>
      <c r="F15" s="10">
        <f>'Revenue &amp; Electricity Consump'!F55</f>
        <v>2035</v>
      </c>
      <c r="G15" s="4">
        <f>IF(F15=0,$F$10,F15)</f>
        <v>2035</v>
      </c>
    </row>
    <row r="16" spans="1:7" x14ac:dyDescent="0.3">
      <c r="E16" s="10" t="str">
        <f>'Revenue &amp; Electricity Consump'!E56</f>
        <v>Year of fourth price rise</v>
      </c>
      <c r="F16" s="10">
        <f>'Revenue &amp; Electricity Consump'!F56</f>
        <v>2040</v>
      </c>
      <c r="G16" s="4">
        <f>IF(F16=0,$F$10,F16)</f>
        <v>2040</v>
      </c>
    </row>
    <row r="17" spans="2:31" x14ac:dyDescent="0.3">
      <c r="E17" s="10" t="str">
        <f>'Revenue &amp; Electricity Consump'!E57</f>
        <v>Year of fifth price rise</v>
      </c>
      <c r="F17" s="10">
        <f>'Revenue &amp; Electricity Consump'!F57</f>
        <v>2045</v>
      </c>
      <c r="G17" s="4">
        <f>IF(F17=0,$F$10,F17)</f>
        <v>2045</v>
      </c>
    </row>
    <row r="19" spans="2:31" x14ac:dyDescent="0.3">
      <c r="E19" t="s">
        <v>93</v>
      </c>
    </row>
    <row r="20" spans="2:31" x14ac:dyDescent="0.3">
      <c r="E20" s="10" t="str">
        <f>'Plant Expenditure and Info'!E40</f>
        <v>Year of first growth phase</v>
      </c>
      <c r="F20" s="163">
        <f>'Plant Expenditure and Info'!F40</f>
        <v>2029</v>
      </c>
    </row>
    <row r="21" spans="2:31" x14ac:dyDescent="0.3">
      <c r="E21" s="10" t="str">
        <f>'Plant Expenditure and Info'!E41</f>
        <v>Year of second growth phase</v>
      </c>
      <c r="F21" s="163">
        <f>'Plant Expenditure and Info'!F41</f>
        <v>2038</v>
      </c>
    </row>
    <row r="24" spans="2:31" x14ac:dyDescent="0.3">
      <c r="B24" s="1" t="s">
        <v>74</v>
      </c>
    </row>
    <row r="25" spans="2:31" x14ac:dyDescent="0.3">
      <c r="F25">
        <v>0</v>
      </c>
      <c r="G25">
        <f t="shared" ref="G25:AE25" si="0">IF(F25&lt;$F$9,F$25+1,"")</f>
        <v>1</v>
      </c>
      <c r="H25">
        <f t="shared" si="0"/>
        <v>2</v>
      </c>
      <c r="I25">
        <f t="shared" si="0"/>
        <v>3</v>
      </c>
      <c r="J25">
        <f t="shared" si="0"/>
        <v>4</v>
      </c>
      <c r="K25">
        <f t="shared" si="0"/>
        <v>5</v>
      </c>
      <c r="L25">
        <f t="shared" si="0"/>
        <v>6</v>
      </c>
      <c r="M25">
        <f t="shared" si="0"/>
        <v>7</v>
      </c>
      <c r="N25">
        <f t="shared" si="0"/>
        <v>8</v>
      </c>
      <c r="O25">
        <f t="shared" si="0"/>
        <v>9</v>
      </c>
      <c r="P25">
        <f t="shared" si="0"/>
        <v>10</v>
      </c>
      <c r="Q25">
        <f t="shared" si="0"/>
        <v>11</v>
      </c>
      <c r="R25">
        <f t="shared" si="0"/>
        <v>12</v>
      </c>
      <c r="S25">
        <f t="shared" si="0"/>
        <v>13</v>
      </c>
      <c r="T25">
        <f t="shared" si="0"/>
        <v>14</v>
      </c>
      <c r="U25">
        <f t="shared" si="0"/>
        <v>15</v>
      </c>
      <c r="V25">
        <f t="shared" si="0"/>
        <v>16</v>
      </c>
      <c r="W25">
        <f t="shared" si="0"/>
        <v>17</v>
      </c>
      <c r="X25">
        <f t="shared" si="0"/>
        <v>18</v>
      </c>
      <c r="Y25">
        <f t="shared" si="0"/>
        <v>19</v>
      </c>
      <c r="Z25">
        <f t="shared" si="0"/>
        <v>20</v>
      </c>
      <c r="AA25">
        <f t="shared" si="0"/>
        <v>21</v>
      </c>
      <c r="AB25">
        <f t="shared" si="0"/>
        <v>22</v>
      </c>
      <c r="AC25">
        <f t="shared" si="0"/>
        <v>23</v>
      </c>
      <c r="AD25">
        <f t="shared" si="0"/>
        <v>24</v>
      </c>
      <c r="AE25">
        <f t="shared" si="0"/>
        <v>25</v>
      </c>
    </row>
    <row r="26" spans="2:31" x14ac:dyDescent="0.3">
      <c r="E26" t="s">
        <v>75</v>
      </c>
      <c r="F26">
        <f>F8</f>
        <v>2020</v>
      </c>
      <c r="G26">
        <f>IF(G25&lt;&gt;"",F26+1,"")</f>
        <v>2021</v>
      </c>
      <c r="H26">
        <f t="shared" ref="H26:S26" si="1">IF(H25&lt;&gt;"",G26+1,"")</f>
        <v>2022</v>
      </c>
      <c r="I26">
        <f t="shared" si="1"/>
        <v>2023</v>
      </c>
      <c r="J26">
        <f t="shared" si="1"/>
        <v>2024</v>
      </c>
      <c r="K26">
        <f t="shared" si="1"/>
        <v>2025</v>
      </c>
      <c r="L26">
        <f t="shared" si="1"/>
        <v>2026</v>
      </c>
      <c r="M26">
        <f t="shared" si="1"/>
        <v>2027</v>
      </c>
      <c r="N26">
        <f t="shared" si="1"/>
        <v>2028</v>
      </c>
      <c r="O26">
        <f t="shared" si="1"/>
        <v>2029</v>
      </c>
      <c r="P26">
        <f t="shared" si="1"/>
        <v>2030</v>
      </c>
      <c r="Q26">
        <f t="shared" si="1"/>
        <v>2031</v>
      </c>
      <c r="R26">
        <f t="shared" si="1"/>
        <v>2032</v>
      </c>
      <c r="S26">
        <f t="shared" si="1"/>
        <v>2033</v>
      </c>
      <c r="T26">
        <f t="shared" ref="T26:AE26" si="2">IF(T25&lt;&gt;"",S26+1,"")</f>
        <v>2034</v>
      </c>
      <c r="U26">
        <f t="shared" si="2"/>
        <v>2035</v>
      </c>
      <c r="V26">
        <f t="shared" si="2"/>
        <v>2036</v>
      </c>
      <c r="W26">
        <f t="shared" si="2"/>
        <v>2037</v>
      </c>
      <c r="X26">
        <f t="shared" si="2"/>
        <v>2038</v>
      </c>
      <c r="Y26">
        <f t="shared" si="2"/>
        <v>2039</v>
      </c>
      <c r="Z26">
        <f t="shared" si="2"/>
        <v>2040</v>
      </c>
      <c r="AA26">
        <f t="shared" si="2"/>
        <v>2041</v>
      </c>
      <c r="AB26">
        <f t="shared" si="2"/>
        <v>2042</v>
      </c>
      <c r="AC26">
        <f t="shared" si="2"/>
        <v>2043</v>
      </c>
      <c r="AD26">
        <f t="shared" si="2"/>
        <v>2044</v>
      </c>
      <c r="AE26">
        <f t="shared" si="2"/>
        <v>2045</v>
      </c>
    </row>
    <row r="27" spans="2:31" x14ac:dyDescent="0.3">
      <c r="E27" t="s">
        <v>104</v>
      </c>
      <c r="F27">
        <v>0</v>
      </c>
      <c r="G27">
        <v>1</v>
      </c>
      <c r="H27">
        <v>1</v>
      </c>
      <c r="I27">
        <v>1</v>
      </c>
      <c r="J27">
        <v>1</v>
      </c>
      <c r="K27">
        <v>1</v>
      </c>
      <c r="L27">
        <v>1</v>
      </c>
      <c r="M27">
        <v>1</v>
      </c>
      <c r="N27">
        <v>1</v>
      </c>
      <c r="O27">
        <v>1</v>
      </c>
      <c r="P27">
        <v>1</v>
      </c>
      <c r="Q27">
        <v>1</v>
      </c>
      <c r="R27">
        <v>1</v>
      </c>
      <c r="S27">
        <v>1</v>
      </c>
      <c r="T27">
        <v>1</v>
      </c>
      <c r="U27">
        <v>1</v>
      </c>
      <c r="V27">
        <v>1</v>
      </c>
      <c r="W27">
        <v>1</v>
      </c>
      <c r="X27">
        <v>1</v>
      </c>
      <c r="Y27">
        <v>1</v>
      </c>
      <c r="Z27">
        <v>1</v>
      </c>
      <c r="AA27">
        <v>1</v>
      </c>
      <c r="AB27">
        <v>1</v>
      </c>
      <c r="AC27">
        <v>1</v>
      </c>
      <c r="AD27">
        <v>1</v>
      </c>
      <c r="AE27">
        <v>1</v>
      </c>
    </row>
    <row r="30" spans="2:31" x14ac:dyDescent="0.3">
      <c r="D30" s="1" t="s">
        <v>76</v>
      </c>
    </row>
    <row r="31" spans="2:31" x14ac:dyDescent="0.3">
      <c r="D31" s="1"/>
      <c r="E31" t="s">
        <v>124</v>
      </c>
      <c r="F31">
        <f t="shared" ref="F31:AE31" si="3">IF($G$13=0,1,IF($F8&lt;$F$10,IF(AND(F$26&gt;$F8,F$26&lt;=$G13),1,0),0))</f>
        <v>0</v>
      </c>
      <c r="G31">
        <f t="shared" si="3"/>
        <v>1</v>
      </c>
      <c r="H31">
        <f t="shared" si="3"/>
        <v>1</v>
      </c>
      <c r="I31">
        <f t="shared" si="3"/>
        <v>1</v>
      </c>
      <c r="J31">
        <f t="shared" si="3"/>
        <v>1</v>
      </c>
      <c r="K31">
        <f t="shared" si="3"/>
        <v>1</v>
      </c>
      <c r="L31">
        <f t="shared" si="3"/>
        <v>0</v>
      </c>
      <c r="M31">
        <f t="shared" si="3"/>
        <v>0</v>
      </c>
      <c r="N31">
        <f t="shared" si="3"/>
        <v>0</v>
      </c>
      <c r="O31">
        <f t="shared" si="3"/>
        <v>0</v>
      </c>
      <c r="P31">
        <f t="shared" si="3"/>
        <v>0</v>
      </c>
      <c r="Q31">
        <f t="shared" si="3"/>
        <v>0</v>
      </c>
      <c r="R31">
        <f t="shared" si="3"/>
        <v>0</v>
      </c>
      <c r="S31">
        <f t="shared" si="3"/>
        <v>0</v>
      </c>
      <c r="T31">
        <f t="shared" si="3"/>
        <v>0</v>
      </c>
      <c r="U31">
        <f t="shared" si="3"/>
        <v>0</v>
      </c>
      <c r="V31">
        <f t="shared" si="3"/>
        <v>0</v>
      </c>
      <c r="W31">
        <f t="shared" si="3"/>
        <v>0</v>
      </c>
      <c r="X31">
        <f t="shared" si="3"/>
        <v>0</v>
      </c>
      <c r="Y31">
        <f t="shared" si="3"/>
        <v>0</v>
      </c>
      <c r="Z31">
        <f t="shared" si="3"/>
        <v>0</v>
      </c>
      <c r="AA31">
        <f t="shared" si="3"/>
        <v>0</v>
      </c>
      <c r="AB31">
        <f t="shared" si="3"/>
        <v>0</v>
      </c>
      <c r="AC31">
        <f t="shared" si="3"/>
        <v>0</v>
      </c>
      <c r="AD31">
        <f t="shared" si="3"/>
        <v>0</v>
      </c>
      <c r="AE31">
        <f t="shared" si="3"/>
        <v>0</v>
      </c>
    </row>
    <row r="32" spans="2:31" x14ac:dyDescent="0.3">
      <c r="D32" s="1"/>
    </row>
    <row r="33" spans="4:31" x14ac:dyDescent="0.3">
      <c r="E33" t="s">
        <v>88</v>
      </c>
      <c r="F33">
        <f t="shared" ref="F33:AE33" si="4">IF(F31=0,IF($G13&lt;$F$10,IF(AND(F$26&gt;$G13,F$26&lt;=$G14),1,0),0),0)</f>
        <v>0</v>
      </c>
      <c r="G33">
        <f t="shared" si="4"/>
        <v>0</v>
      </c>
      <c r="H33">
        <f t="shared" si="4"/>
        <v>0</v>
      </c>
      <c r="I33">
        <f t="shared" si="4"/>
        <v>0</v>
      </c>
      <c r="J33">
        <f t="shared" si="4"/>
        <v>0</v>
      </c>
      <c r="K33">
        <f t="shared" si="4"/>
        <v>0</v>
      </c>
      <c r="L33">
        <f t="shared" si="4"/>
        <v>1</v>
      </c>
      <c r="M33">
        <f t="shared" si="4"/>
        <v>1</v>
      </c>
      <c r="N33">
        <f t="shared" si="4"/>
        <v>1</v>
      </c>
      <c r="O33">
        <f t="shared" si="4"/>
        <v>1</v>
      </c>
      <c r="P33">
        <f t="shared" si="4"/>
        <v>1</v>
      </c>
      <c r="Q33">
        <f t="shared" si="4"/>
        <v>0</v>
      </c>
      <c r="R33">
        <f t="shared" si="4"/>
        <v>0</v>
      </c>
      <c r="S33">
        <f t="shared" si="4"/>
        <v>0</v>
      </c>
      <c r="T33">
        <f t="shared" si="4"/>
        <v>0</v>
      </c>
      <c r="U33">
        <f t="shared" si="4"/>
        <v>0</v>
      </c>
      <c r="V33">
        <f t="shared" si="4"/>
        <v>0</v>
      </c>
      <c r="W33">
        <f t="shared" si="4"/>
        <v>0</v>
      </c>
      <c r="X33">
        <f t="shared" si="4"/>
        <v>0</v>
      </c>
      <c r="Y33">
        <f t="shared" si="4"/>
        <v>0</v>
      </c>
      <c r="Z33">
        <f t="shared" si="4"/>
        <v>0</v>
      </c>
      <c r="AA33">
        <f t="shared" si="4"/>
        <v>0</v>
      </c>
      <c r="AB33">
        <f t="shared" si="4"/>
        <v>0</v>
      </c>
      <c r="AC33">
        <f t="shared" si="4"/>
        <v>0</v>
      </c>
      <c r="AD33">
        <f t="shared" si="4"/>
        <v>0</v>
      </c>
      <c r="AE33">
        <f t="shared" si="4"/>
        <v>0</v>
      </c>
    </row>
    <row r="35" spans="4:31" x14ac:dyDescent="0.3">
      <c r="E35" t="s">
        <v>89</v>
      </c>
      <c r="F35">
        <f t="shared" ref="F35:AE35" si="5">IF(F33=0,IF($G14&lt;$F$10,IF(AND(F$26&gt;$G14,F$26&lt;=$G15),1,0),0),0)</f>
        <v>0</v>
      </c>
      <c r="G35">
        <f t="shared" si="5"/>
        <v>0</v>
      </c>
      <c r="H35">
        <f t="shared" si="5"/>
        <v>0</v>
      </c>
      <c r="I35">
        <f t="shared" si="5"/>
        <v>0</v>
      </c>
      <c r="J35">
        <f t="shared" si="5"/>
        <v>0</v>
      </c>
      <c r="K35">
        <f t="shared" si="5"/>
        <v>0</v>
      </c>
      <c r="L35">
        <f t="shared" si="5"/>
        <v>0</v>
      </c>
      <c r="M35">
        <f t="shared" si="5"/>
        <v>0</v>
      </c>
      <c r="N35">
        <f t="shared" si="5"/>
        <v>0</v>
      </c>
      <c r="O35">
        <f t="shared" si="5"/>
        <v>0</v>
      </c>
      <c r="P35">
        <f t="shared" si="5"/>
        <v>0</v>
      </c>
      <c r="Q35">
        <f t="shared" si="5"/>
        <v>1</v>
      </c>
      <c r="R35">
        <f t="shared" si="5"/>
        <v>1</v>
      </c>
      <c r="S35">
        <f t="shared" si="5"/>
        <v>1</v>
      </c>
      <c r="T35">
        <f t="shared" si="5"/>
        <v>1</v>
      </c>
      <c r="U35">
        <f t="shared" si="5"/>
        <v>1</v>
      </c>
      <c r="V35">
        <f t="shared" si="5"/>
        <v>0</v>
      </c>
      <c r="W35">
        <f t="shared" si="5"/>
        <v>0</v>
      </c>
      <c r="X35">
        <f t="shared" si="5"/>
        <v>0</v>
      </c>
      <c r="Y35">
        <f t="shared" si="5"/>
        <v>0</v>
      </c>
      <c r="Z35">
        <f t="shared" si="5"/>
        <v>0</v>
      </c>
      <c r="AA35">
        <f t="shared" si="5"/>
        <v>0</v>
      </c>
      <c r="AB35">
        <f t="shared" si="5"/>
        <v>0</v>
      </c>
      <c r="AC35">
        <f t="shared" si="5"/>
        <v>0</v>
      </c>
      <c r="AD35">
        <f t="shared" si="5"/>
        <v>0</v>
      </c>
      <c r="AE35">
        <f t="shared" si="5"/>
        <v>0</v>
      </c>
    </row>
    <row r="37" spans="4:31" x14ac:dyDescent="0.3">
      <c r="E37" t="s">
        <v>90</v>
      </c>
      <c r="F37">
        <f t="shared" ref="F37:AE37" si="6">IF(F35=0,IF($G15&lt;$F$10,IF(AND(F$26&gt;$G15,F$26&lt;=$G16),1,0),0),0)</f>
        <v>0</v>
      </c>
      <c r="G37">
        <f t="shared" si="6"/>
        <v>0</v>
      </c>
      <c r="H37">
        <f t="shared" si="6"/>
        <v>0</v>
      </c>
      <c r="I37">
        <f t="shared" si="6"/>
        <v>0</v>
      </c>
      <c r="J37">
        <f t="shared" si="6"/>
        <v>0</v>
      </c>
      <c r="K37">
        <f t="shared" si="6"/>
        <v>0</v>
      </c>
      <c r="L37">
        <f t="shared" si="6"/>
        <v>0</v>
      </c>
      <c r="M37">
        <f t="shared" si="6"/>
        <v>0</v>
      </c>
      <c r="N37">
        <f t="shared" si="6"/>
        <v>0</v>
      </c>
      <c r="O37">
        <f t="shared" si="6"/>
        <v>0</v>
      </c>
      <c r="P37">
        <f t="shared" si="6"/>
        <v>0</v>
      </c>
      <c r="Q37">
        <f t="shared" si="6"/>
        <v>0</v>
      </c>
      <c r="R37">
        <f t="shared" si="6"/>
        <v>0</v>
      </c>
      <c r="S37">
        <f t="shared" si="6"/>
        <v>0</v>
      </c>
      <c r="T37">
        <f t="shared" si="6"/>
        <v>0</v>
      </c>
      <c r="U37">
        <f t="shared" si="6"/>
        <v>0</v>
      </c>
      <c r="V37">
        <f t="shared" si="6"/>
        <v>1</v>
      </c>
      <c r="W37">
        <f t="shared" si="6"/>
        <v>1</v>
      </c>
      <c r="X37">
        <f t="shared" si="6"/>
        <v>1</v>
      </c>
      <c r="Y37">
        <f t="shared" si="6"/>
        <v>1</v>
      </c>
      <c r="Z37">
        <f t="shared" si="6"/>
        <v>1</v>
      </c>
      <c r="AA37">
        <f t="shared" si="6"/>
        <v>0</v>
      </c>
      <c r="AB37">
        <f t="shared" si="6"/>
        <v>0</v>
      </c>
      <c r="AC37">
        <f t="shared" si="6"/>
        <v>0</v>
      </c>
      <c r="AD37">
        <f t="shared" si="6"/>
        <v>0</v>
      </c>
      <c r="AE37">
        <f t="shared" si="6"/>
        <v>0</v>
      </c>
    </row>
    <row r="39" spans="4:31" x14ac:dyDescent="0.3">
      <c r="E39" t="s">
        <v>91</v>
      </c>
      <c r="F39">
        <f t="shared" ref="F39:AE39" si="7">IF(F37=0,IF($G16&lt;$F$10,IF(AND(F$26&gt;$G16,F$26&lt;=$G17),1,0),0),0)</f>
        <v>0</v>
      </c>
      <c r="G39">
        <f t="shared" si="7"/>
        <v>0</v>
      </c>
      <c r="H39">
        <f t="shared" si="7"/>
        <v>0</v>
      </c>
      <c r="I39">
        <f t="shared" si="7"/>
        <v>0</v>
      </c>
      <c r="J39">
        <f t="shared" si="7"/>
        <v>0</v>
      </c>
      <c r="K39">
        <f t="shared" si="7"/>
        <v>0</v>
      </c>
      <c r="L39">
        <f t="shared" si="7"/>
        <v>0</v>
      </c>
      <c r="M39">
        <f t="shared" si="7"/>
        <v>0</v>
      </c>
      <c r="N39">
        <f t="shared" si="7"/>
        <v>0</v>
      </c>
      <c r="O39">
        <f t="shared" si="7"/>
        <v>0</v>
      </c>
      <c r="P39">
        <f t="shared" si="7"/>
        <v>0</v>
      </c>
      <c r="Q39">
        <f t="shared" si="7"/>
        <v>0</v>
      </c>
      <c r="R39">
        <f t="shared" si="7"/>
        <v>0</v>
      </c>
      <c r="S39">
        <f t="shared" si="7"/>
        <v>0</v>
      </c>
      <c r="T39">
        <f t="shared" si="7"/>
        <v>0</v>
      </c>
      <c r="U39">
        <f t="shared" si="7"/>
        <v>0</v>
      </c>
      <c r="V39">
        <f t="shared" si="7"/>
        <v>0</v>
      </c>
      <c r="W39">
        <f t="shared" si="7"/>
        <v>0</v>
      </c>
      <c r="X39">
        <f t="shared" si="7"/>
        <v>0</v>
      </c>
      <c r="Y39">
        <f t="shared" si="7"/>
        <v>0</v>
      </c>
      <c r="Z39">
        <f t="shared" si="7"/>
        <v>0</v>
      </c>
      <c r="AA39">
        <f t="shared" si="7"/>
        <v>1</v>
      </c>
      <c r="AB39">
        <f t="shared" si="7"/>
        <v>1</v>
      </c>
      <c r="AC39">
        <f t="shared" si="7"/>
        <v>1</v>
      </c>
      <c r="AD39">
        <f t="shared" si="7"/>
        <v>1</v>
      </c>
      <c r="AE39">
        <f t="shared" si="7"/>
        <v>1</v>
      </c>
    </row>
    <row r="41" spans="4:31" x14ac:dyDescent="0.3">
      <c r="E41" t="s">
        <v>92</v>
      </c>
      <c r="F41">
        <f t="shared" ref="F41:AE41" si="8">IF(F39=0,IF($G17&lt;$F$10,IF(AND(F$26&gt;$G17,F$26&lt;=$F10),1,0),0),0)</f>
        <v>0</v>
      </c>
      <c r="G41">
        <f t="shared" si="8"/>
        <v>0</v>
      </c>
      <c r="H41">
        <f t="shared" si="8"/>
        <v>0</v>
      </c>
      <c r="I41">
        <f t="shared" si="8"/>
        <v>0</v>
      </c>
      <c r="J41">
        <f t="shared" si="8"/>
        <v>0</v>
      </c>
      <c r="K41">
        <f t="shared" si="8"/>
        <v>0</v>
      </c>
      <c r="L41">
        <f t="shared" si="8"/>
        <v>0</v>
      </c>
      <c r="M41">
        <f t="shared" si="8"/>
        <v>0</v>
      </c>
      <c r="N41">
        <f t="shared" si="8"/>
        <v>0</v>
      </c>
      <c r="O41">
        <f t="shared" si="8"/>
        <v>0</v>
      </c>
      <c r="P41">
        <f t="shared" si="8"/>
        <v>0</v>
      </c>
      <c r="Q41">
        <f t="shared" si="8"/>
        <v>0</v>
      </c>
      <c r="R41">
        <f t="shared" si="8"/>
        <v>0</v>
      </c>
      <c r="S41">
        <f t="shared" si="8"/>
        <v>0</v>
      </c>
      <c r="T41">
        <f t="shared" si="8"/>
        <v>0</v>
      </c>
      <c r="U41">
        <f t="shared" si="8"/>
        <v>0</v>
      </c>
      <c r="V41">
        <f t="shared" si="8"/>
        <v>0</v>
      </c>
      <c r="W41">
        <f t="shared" si="8"/>
        <v>0</v>
      </c>
      <c r="X41">
        <f t="shared" si="8"/>
        <v>0</v>
      </c>
      <c r="Y41">
        <f t="shared" si="8"/>
        <v>0</v>
      </c>
      <c r="Z41">
        <f t="shared" si="8"/>
        <v>0</v>
      </c>
      <c r="AA41">
        <f t="shared" si="8"/>
        <v>0</v>
      </c>
      <c r="AB41">
        <f t="shared" si="8"/>
        <v>0</v>
      </c>
      <c r="AC41">
        <f t="shared" si="8"/>
        <v>0</v>
      </c>
      <c r="AD41">
        <f t="shared" si="8"/>
        <v>0</v>
      </c>
      <c r="AE41">
        <f t="shared" si="8"/>
        <v>0</v>
      </c>
    </row>
    <row r="44" spans="4:31" x14ac:dyDescent="0.3">
      <c r="D44" s="1" t="s">
        <v>87</v>
      </c>
    </row>
    <row r="45" spans="4:31" x14ac:dyDescent="0.3">
      <c r="E45" t="str">
        <f>E20</f>
        <v>Year of first growth phase</v>
      </c>
      <c r="F45">
        <f t="shared" ref="F45:AE45" si="9">IF($F$20&lt;&gt;0,IF(F$26=$F$20,1,0),0)</f>
        <v>0</v>
      </c>
      <c r="G45">
        <f t="shared" si="9"/>
        <v>0</v>
      </c>
      <c r="H45">
        <f t="shared" si="9"/>
        <v>0</v>
      </c>
      <c r="I45">
        <f t="shared" si="9"/>
        <v>0</v>
      </c>
      <c r="J45">
        <f t="shared" si="9"/>
        <v>0</v>
      </c>
      <c r="K45">
        <f t="shared" si="9"/>
        <v>0</v>
      </c>
      <c r="L45">
        <f t="shared" si="9"/>
        <v>0</v>
      </c>
      <c r="M45">
        <f t="shared" si="9"/>
        <v>0</v>
      </c>
      <c r="N45">
        <f t="shared" si="9"/>
        <v>0</v>
      </c>
      <c r="O45">
        <f t="shared" si="9"/>
        <v>1</v>
      </c>
      <c r="P45">
        <f t="shared" si="9"/>
        <v>0</v>
      </c>
      <c r="Q45">
        <f t="shared" si="9"/>
        <v>0</v>
      </c>
      <c r="R45">
        <f t="shared" si="9"/>
        <v>0</v>
      </c>
      <c r="S45">
        <f t="shared" si="9"/>
        <v>0</v>
      </c>
      <c r="T45">
        <f t="shared" si="9"/>
        <v>0</v>
      </c>
      <c r="U45">
        <f t="shared" si="9"/>
        <v>0</v>
      </c>
      <c r="V45">
        <f t="shared" si="9"/>
        <v>0</v>
      </c>
      <c r="W45">
        <f t="shared" si="9"/>
        <v>0</v>
      </c>
      <c r="X45">
        <f t="shared" si="9"/>
        <v>0</v>
      </c>
      <c r="Y45">
        <f t="shared" si="9"/>
        <v>0</v>
      </c>
      <c r="Z45">
        <f t="shared" si="9"/>
        <v>0</v>
      </c>
      <c r="AA45">
        <f t="shared" si="9"/>
        <v>0</v>
      </c>
      <c r="AB45">
        <f t="shared" si="9"/>
        <v>0</v>
      </c>
      <c r="AC45">
        <f t="shared" si="9"/>
        <v>0</v>
      </c>
      <c r="AD45">
        <f t="shared" si="9"/>
        <v>0</v>
      </c>
      <c r="AE45">
        <f t="shared" si="9"/>
        <v>0</v>
      </c>
    </row>
    <row r="47" spans="4:31" x14ac:dyDescent="0.3">
      <c r="E47" t="str">
        <f>E21</f>
        <v>Year of second growth phase</v>
      </c>
      <c r="F47">
        <f t="shared" ref="F47:AE47" si="10">IF($F$21&lt;&gt;0,IF(F$26=$F$21,1,0),0)</f>
        <v>0</v>
      </c>
      <c r="G47">
        <f t="shared" si="10"/>
        <v>0</v>
      </c>
      <c r="H47">
        <f t="shared" si="10"/>
        <v>0</v>
      </c>
      <c r="I47">
        <f t="shared" si="10"/>
        <v>0</v>
      </c>
      <c r="J47">
        <f t="shared" si="10"/>
        <v>0</v>
      </c>
      <c r="K47">
        <f t="shared" si="10"/>
        <v>0</v>
      </c>
      <c r="L47">
        <f t="shared" si="10"/>
        <v>0</v>
      </c>
      <c r="M47">
        <f t="shared" si="10"/>
        <v>0</v>
      </c>
      <c r="N47">
        <f t="shared" si="10"/>
        <v>0</v>
      </c>
      <c r="O47">
        <f t="shared" si="10"/>
        <v>0</v>
      </c>
      <c r="P47">
        <f t="shared" si="10"/>
        <v>0</v>
      </c>
      <c r="Q47">
        <f t="shared" si="10"/>
        <v>0</v>
      </c>
      <c r="R47">
        <f t="shared" si="10"/>
        <v>0</v>
      </c>
      <c r="S47">
        <f t="shared" si="10"/>
        <v>0</v>
      </c>
      <c r="T47">
        <f t="shared" si="10"/>
        <v>0</v>
      </c>
      <c r="U47">
        <f t="shared" si="10"/>
        <v>0</v>
      </c>
      <c r="V47">
        <f t="shared" si="10"/>
        <v>0</v>
      </c>
      <c r="W47">
        <f t="shared" si="10"/>
        <v>0</v>
      </c>
      <c r="X47">
        <f t="shared" si="10"/>
        <v>1</v>
      </c>
      <c r="Y47">
        <f t="shared" si="10"/>
        <v>0</v>
      </c>
      <c r="Z47">
        <f t="shared" si="10"/>
        <v>0</v>
      </c>
      <c r="AA47">
        <f t="shared" si="10"/>
        <v>0</v>
      </c>
      <c r="AB47">
        <f t="shared" si="10"/>
        <v>0</v>
      </c>
      <c r="AC47">
        <f t="shared" si="10"/>
        <v>0</v>
      </c>
      <c r="AD47">
        <f t="shared" si="10"/>
        <v>0</v>
      </c>
      <c r="AE47">
        <f t="shared" si="10"/>
        <v>0</v>
      </c>
    </row>
    <row r="50" spans="1:31" x14ac:dyDescent="0.3">
      <c r="D50" s="1" t="s">
        <v>47</v>
      </c>
    </row>
    <row r="51" spans="1:31" x14ac:dyDescent="0.3">
      <c r="E51" s="10" t="str">
        <f>'Revenue &amp; Electricity Consump'!E28</f>
        <v>Option 1 - Fixed cost per residential and commercial dwellings</v>
      </c>
      <c r="F51" s="10" t="str">
        <f>'Revenue &amp; Electricity Consump'!F28</f>
        <v>Yes</v>
      </c>
    </row>
    <row r="52" spans="1:31" x14ac:dyDescent="0.3">
      <c r="E52" s="10" t="str">
        <f>'Revenue &amp; Electricity Consump'!E30</f>
        <v>Option 2 - Per kWh consumed per residential and commercial dwellings</v>
      </c>
      <c r="F52" s="10" t="str">
        <f>'Revenue &amp; Electricity Consump'!F30</f>
        <v>Yes</v>
      </c>
    </row>
    <row r="53" spans="1:31" x14ac:dyDescent="0.3">
      <c r="E53" s="10" t="str">
        <f>'Revenue &amp; Electricity Consump'!E32</f>
        <v>Option 3 - Fixed cost +  per kWh consumed for residential and commercial dwellings</v>
      </c>
      <c r="F53" s="10" t="str">
        <f>'Revenue &amp; Electricity Consump'!F32</f>
        <v>Yes</v>
      </c>
    </row>
    <row r="54" spans="1:31" x14ac:dyDescent="0.3">
      <c r="E54" s="10"/>
      <c r="F54" s="10"/>
    </row>
    <row r="55" spans="1:31" x14ac:dyDescent="0.3">
      <c r="E55" t="s">
        <v>136</v>
      </c>
      <c r="F55">
        <f>IF($F51="Yes",F$27,0)</f>
        <v>0</v>
      </c>
      <c r="G55">
        <f t="shared" ref="G55:AE55" si="11">IF($F51="Yes",G$27,0)</f>
        <v>1</v>
      </c>
      <c r="H55">
        <f t="shared" si="11"/>
        <v>1</v>
      </c>
      <c r="I55">
        <f t="shared" si="11"/>
        <v>1</v>
      </c>
      <c r="J55">
        <f t="shared" si="11"/>
        <v>1</v>
      </c>
      <c r="K55">
        <f t="shared" si="11"/>
        <v>1</v>
      </c>
      <c r="L55">
        <f t="shared" si="11"/>
        <v>1</v>
      </c>
      <c r="M55">
        <f t="shared" si="11"/>
        <v>1</v>
      </c>
      <c r="N55">
        <f t="shared" si="11"/>
        <v>1</v>
      </c>
      <c r="O55">
        <f t="shared" si="11"/>
        <v>1</v>
      </c>
      <c r="P55">
        <f t="shared" si="11"/>
        <v>1</v>
      </c>
      <c r="Q55">
        <f t="shared" si="11"/>
        <v>1</v>
      </c>
      <c r="R55">
        <f t="shared" si="11"/>
        <v>1</v>
      </c>
      <c r="S55">
        <f t="shared" si="11"/>
        <v>1</v>
      </c>
      <c r="T55">
        <f t="shared" si="11"/>
        <v>1</v>
      </c>
      <c r="U55">
        <f t="shared" si="11"/>
        <v>1</v>
      </c>
      <c r="V55">
        <f t="shared" si="11"/>
        <v>1</v>
      </c>
      <c r="W55">
        <f t="shared" si="11"/>
        <v>1</v>
      </c>
      <c r="X55">
        <f t="shared" si="11"/>
        <v>1</v>
      </c>
      <c r="Y55">
        <f t="shared" si="11"/>
        <v>1</v>
      </c>
      <c r="Z55">
        <f t="shared" si="11"/>
        <v>1</v>
      </c>
      <c r="AA55">
        <f t="shared" si="11"/>
        <v>1</v>
      </c>
      <c r="AB55">
        <f t="shared" si="11"/>
        <v>1</v>
      </c>
      <c r="AC55">
        <f t="shared" si="11"/>
        <v>1</v>
      </c>
      <c r="AD55">
        <f t="shared" si="11"/>
        <v>1</v>
      </c>
      <c r="AE55">
        <f t="shared" si="11"/>
        <v>1</v>
      </c>
    </row>
    <row r="56" spans="1:31" x14ac:dyDescent="0.3">
      <c r="E56" t="s">
        <v>137</v>
      </c>
      <c r="F56">
        <f>IF($F52="Yes",F$27,0)</f>
        <v>0</v>
      </c>
      <c r="G56">
        <f t="shared" ref="G56:AE56" si="12">IF($F52="Yes",G$27,0)</f>
        <v>1</v>
      </c>
      <c r="H56">
        <f t="shared" si="12"/>
        <v>1</v>
      </c>
      <c r="I56">
        <f t="shared" si="12"/>
        <v>1</v>
      </c>
      <c r="J56">
        <f t="shared" si="12"/>
        <v>1</v>
      </c>
      <c r="K56">
        <f t="shared" si="12"/>
        <v>1</v>
      </c>
      <c r="L56">
        <f t="shared" si="12"/>
        <v>1</v>
      </c>
      <c r="M56">
        <f t="shared" si="12"/>
        <v>1</v>
      </c>
      <c r="N56">
        <f t="shared" si="12"/>
        <v>1</v>
      </c>
      <c r="O56">
        <f t="shared" si="12"/>
        <v>1</v>
      </c>
      <c r="P56">
        <f t="shared" si="12"/>
        <v>1</v>
      </c>
      <c r="Q56">
        <f t="shared" si="12"/>
        <v>1</v>
      </c>
      <c r="R56">
        <f t="shared" si="12"/>
        <v>1</v>
      </c>
      <c r="S56">
        <f t="shared" si="12"/>
        <v>1</v>
      </c>
      <c r="T56">
        <f t="shared" si="12"/>
        <v>1</v>
      </c>
      <c r="U56">
        <f t="shared" si="12"/>
        <v>1</v>
      </c>
      <c r="V56">
        <f t="shared" si="12"/>
        <v>1</v>
      </c>
      <c r="W56">
        <f t="shared" si="12"/>
        <v>1</v>
      </c>
      <c r="X56">
        <f t="shared" si="12"/>
        <v>1</v>
      </c>
      <c r="Y56">
        <f t="shared" si="12"/>
        <v>1</v>
      </c>
      <c r="Z56">
        <f t="shared" si="12"/>
        <v>1</v>
      </c>
      <c r="AA56">
        <f t="shared" si="12"/>
        <v>1</v>
      </c>
      <c r="AB56">
        <f t="shared" si="12"/>
        <v>1</v>
      </c>
      <c r="AC56">
        <f t="shared" si="12"/>
        <v>1</v>
      </c>
      <c r="AD56">
        <f t="shared" si="12"/>
        <v>1</v>
      </c>
      <c r="AE56">
        <f t="shared" si="12"/>
        <v>1</v>
      </c>
    </row>
    <row r="57" spans="1:31" x14ac:dyDescent="0.3">
      <c r="E57" t="s">
        <v>138</v>
      </c>
      <c r="F57">
        <f>IF($F53="Yes",F$27,0)</f>
        <v>0</v>
      </c>
      <c r="G57">
        <f t="shared" ref="G57:AE57" si="13">IF($F53="Yes",G$27,0)</f>
        <v>1</v>
      </c>
      <c r="H57">
        <f t="shared" si="13"/>
        <v>1</v>
      </c>
      <c r="I57">
        <f t="shared" si="13"/>
        <v>1</v>
      </c>
      <c r="J57">
        <f t="shared" si="13"/>
        <v>1</v>
      </c>
      <c r="K57">
        <f t="shared" si="13"/>
        <v>1</v>
      </c>
      <c r="L57">
        <f t="shared" si="13"/>
        <v>1</v>
      </c>
      <c r="M57">
        <f t="shared" si="13"/>
        <v>1</v>
      </c>
      <c r="N57">
        <f t="shared" si="13"/>
        <v>1</v>
      </c>
      <c r="O57">
        <f t="shared" si="13"/>
        <v>1</v>
      </c>
      <c r="P57">
        <f t="shared" si="13"/>
        <v>1</v>
      </c>
      <c r="Q57">
        <f t="shared" si="13"/>
        <v>1</v>
      </c>
      <c r="R57">
        <f t="shared" si="13"/>
        <v>1</v>
      </c>
      <c r="S57">
        <f t="shared" si="13"/>
        <v>1</v>
      </c>
      <c r="T57">
        <f t="shared" si="13"/>
        <v>1</v>
      </c>
      <c r="U57">
        <f t="shared" si="13"/>
        <v>1</v>
      </c>
      <c r="V57">
        <f t="shared" si="13"/>
        <v>1</v>
      </c>
      <c r="W57">
        <f t="shared" si="13"/>
        <v>1</v>
      </c>
      <c r="X57">
        <f t="shared" si="13"/>
        <v>1</v>
      </c>
      <c r="Y57">
        <f t="shared" si="13"/>
        <v>1</v>
      </c>
      <c r="Z57">
        <f t="shared" si="13"/>
        <v>1</v>
      </c>
      <c r="AA57">
        <f t="shared" si="13"/>
        <v>1</v>
      </c>
      <c r="AB57">
        <f t="shared" si="13"/>
        <v>1</v>
      </c>
      <c r="AC57">
        <f t="shared" si="13"/>
        <v>1</v>
      </c>
      <c r="AD57">
        <f t="shared" si="13"/>
        <v>1</v>
      </c>
      <c r="AE57">
        <f t="shared" si="13"/>
        <v>1</v>
      </c>
    </row>
    <row r="60" spans="1:31" x14ac:dyDescent="0.3">
      <c r="A60" s="1" t="s">
        <v>106</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tabColor rgb="FF00B0F0"/>
  </sheetPr>
  <dimension ref="A1:AI65"/>
  <sheetViews>
    <sheetView workbookViewId="0">
      <selection activeCell="E47" sqref="E47"/>
    </sheetView>
  </sheetViews>
  <sheetFormatPr defaultColWidth="8.77734375" defaultRowHeight="14.4" x14ac:dyDescent="0.3"/>
  <cols>
    <col min="1" max="4" width="1.6640625" customWidth="1"/>
    <col min="5" max="5" width="68.44140625" customWidth="1"/>
    <col min="6" max="6" width="13.44140625" customWidth="1"/>
    <col min="7" max="7" width="20.44140625" bestFit="1" customWidth="1"/>
    <col min="8" max="8" width="12.44140625" customWidth="1"/>
    <col min="9" max="9" width="4.33203125" customWidth="1"/>
  </cols>
  <sheetData>
    <row r="1" spans="1:7" ht="25.8" x14ac:dyDescent="0.3">
      <c r="A1" s="6" t="str">
        <f ca="1">MID(CELL("filename",A1),FIND("]",CELL("filename",A1))+1,255)</f>
        <v>Energy</v>
      </c>
    </row>
    <row r="4" spans="1:7" x14ac:dyDescent="0.3">
      <c r="E4" s="10" t="str">
        <f>General!E10</f>
        <v>Currency</v>
      </c>
      <c r="F4" s="10" t="str">
        <f>General!F10</f>
        <v>£</v>
      </c>
    </row>
    <row r="6" spans="1:7" x14ac:dyDescent="0.3">
      <c r="E6" s="10" t="str">
        <f>General!E18</f>
        <v>Number of homes in the village</v>
      </c>
      <c r="F6" s="10">
        <f>General!F18</f>
        <v>45</v>
      </c>
    </row>
    <row r="7" spans="1:7" x14ac:dyDescent="0.3">
      <c r="E7" s="10" t="str">
        <f>General!E19</f>
        <v>Number of homes to be connected to the microgrid</v>
      </c>
      <c r="F7" s="10">
        <f>General!F19</f>
        <v>30</v>
      </c>
    </row>
    <row r="8" spans="1:7" x14ac:dyDescent="0.3">
      <c r="E8" s="12" t="s">
        <v>292</v>
      </c>
      <c r="F8" s="88">
        <f>F6-F7</f>
        <v>15</v>
      </c>
    </row>
    <row r="9" spans="1:7" x14ac:dyDescent="0.3">
      <c r="E9" s="10"/>
      <c r="F9" s="10"/>
    </row>
    <row r="10" spans="1:7" x14ac:dyDescent="0.3">
      <c r="E10" s="10" t="str">
        <f>General!E21</f>
        <v>Number of commercial</v>
      </c>
      <c r="F10" s="10">
        <f>General!F21</f>
        <v>15</v>
      </c>
    </row>
    <row r="11" spans="1:7" x14ac:dyDescent="0.3">
      <c r="E11" s="10" t="str">
        <f>General!E22</f>
        <v>Number of commercial properties to be connected by the microgrid</v>
      </c>
      <c r="F11" s="10">
        <f>General!F22</f>
        <v>12</v>
      </c>
    </row>
    <row r="12" spans="1:7" x14ac:dyDescent="0.3">
      <c r="E12" s="12" t="s">
        <v>293</v>
      </c>
      <c r="F12" s="88">
        <f>F10-F11</f>
        <v>3</v>
      </c>
    </row>
    <row r="14" spans="1:7" x14ac:dyDescent="0.3">
      <c r="E14" s="10" t="str">
        <f>'Revenue &amp; Electricity Consump'!E14</f>
        <v>Average estimated monthly consumption per residential dwelling</v>
      </c>
      <c r="F14" s="10">
        <f>'Revenue &amp; Electricity Consump'!F14</f>
        <v>100</v>
      </c>
      <c r="G14" s="10" t="str">
        <f>'Revenue &amp; Electricity Consump'!G14</f>
        <v>kWh/dwelling/month</v>
      </c>
    </row>
    <row r="15" spans="1:7" x14ac:dyDescent="0.3">
      <c r="E15" s="10" t="str">
        <f>'Revenue &amp; Electricity Consump'!E15</f>
        <v>Average estimated monthly consumption per commercial dwelling</v>
      </c>
      <c r="F15" s="10">
        <f>'Revenue &amp; Electricity Consump'!F15</f>
        <v>100</v>
      </c>
      <c r="G15" s="10" t="str">
        <f>'Revenue &amp; Electricity Consump'!G15</f>
        <v>kWh/dwelling/month</v>
      </c>
    </row>
    <row r="17" spans="4:7" x14ac:dyDescent="0.3">
      <c r="E17" s="10" t="str">
        <f>'Revenue &amp; Electricity Consump'!E19</f>
        <v>Possible growth in commercial load every year</v>
      </c>
      <c r="F17" s="16">
        <f>'Revenue &amp; Electricity Consump'!F19</f>
        <v>0.01</v>
      </c>
      <c r="G17" s="10" t="str">
        <f>'Revenue &amp; Electricity Consump'!G19</f>
        <v>%</v>
      </c>
    </row>
    <row r="18" spans="4:7" x14ac:dyDescent="0.3">
      <c r="E18" s="10" t="str">
        <f>'Revenue &amp; Electricity Consump'!E20</f>
        <v>Possible growth in residential load every year</v>
      </c>
      <c r="F18" s="16">
        <f>'Revenue &amp; Electricity Consump'!F20</f>
        <v>0.01</v>
      </c>
      <c r="G18" s="10" t="str">
        <f>'Revenue &amp; Electricity Consump'!G20</f>
        <v>%</v>
      </c>
    </row>
    <row r="19" spans="4:7" x14ac:dyDescent="0.3">
      <c r="E19" s="10"/>
      <c r="F19" s="16"/>
      <c r="G19" s="10"/>
    </row>
    <row r="20" spans="4:7" x14ac:dyDescent="0.3">
      <c r="E20" s="10" t="str">
        <f>'Plant Expenditure and Info'!E11</f>
        <v>Size of the plant</v>
      </c>
      <c r="F20" s="10">
        <f>'Plant Expenditure and Info'!F11</f>
        <v>20</v>
      </c>
      <c r="G20" s="10" t="str">
        <f>'Plant Expenditure and Info'!G11</f>
        <v>kWp</v>
      </c>
    </row>
    <row r="21" spans="4:7" x14ac:dyDescent="0.3">
      <c r="E21" s="10" t="str">
        <f>'Plant Expenditure and Info'!E12</f>
        <v>Size of the battery</v>
      </c>
      <c r="F21" s="10">
        <f>'Plant Expenditure and Info'!F12</f>
        <v>60</v>
      </c>
      <c r="G21" s="10" t="str">
        <f>'Plant Expenditure and Info'!G12</f>
        <v>kWh</v>
      </c>
    </row>
    <row r="22" spans="4:7" x14ac:dyDescent="0.3">
      <c r="E22" s="10" t="str">
        <f>'Plant Expenditure and Info'!E13</f>
        <v>Annual Degradation</v>
      </c>
      <c r="F22" s="16">
        <f>'Plant Expenditure and Info'!F13</f>
        <v>5.0000000000000001E-3</v>
      </c>
      <c r="G22" s="10" t="str">
        <f>'Plant Expenditure and Info'!G13</f>
        <v>%</v>
      </c>
    </row>
    <row r="23" spans="4:7" x14ac:dyDescent="0.3">
      <c r="E23" s="10" t="str">
        <f>'Plant Expenditure and Info'!E14</f>
        <v>Average daily kWh generation per kWp</v>
      </c>
      <c r="F23" s="10">
        <f>'Plant Expenditure and Info'!F14</f>
        <v>1650</v>
      </c>
      <c r="G23" s="10" t="str">
        <f>'Plant Expenditure and Info'!G14</f>
        <v>kWh/kWp</v>
      </c>
    </row>
    <row r="25" spans="4:7" x14ac:dyDescent="0.3">
      <c r="E25" s="10" t="str">
        <f>'Plant Expenditure and Info'!E40</f>
        <v>Year of first growth phase</v>
      </c>
      <c r="F25" s="10">
        <f>'Plant Expenditure and Info'!F40</f>
        <v>2029</v>
      </c>
    </row>
    <row r="26" spans="4:7" x14ac:dyDescent="0.3">
      <c r="E26" s="10" t="str">
        <f>'Plant Expenditure and Info'!E41</f>
        <v>Year of second growth phase</v>
      </c>
      <c r="F26" s="10">
        <f>'Plant Expenditure and Info'!F41</f>
        <v>2038</v>
      </c>
    </row>
    <row r="27" spans="4:7" x14ac:dyDescent="0.3">
      <c r="E27" s="10" t="str">
        <f>'Plant Expenditure and Info'!E44</f>
        <v>First phase plant size added</v>
      </c>
      <c r="F27" s="10">
        <f>'Plant Expenditure and Info'!F44</f>
        <v>20</v>
      </c>
      <c r="G27" s="10" t="str">
        <f>'Plant Expenditure and Info'!G44</f>
        <v>kWp</v>
      </c>
    </row>
    <row r="28" spans="4:7" x14ac:dyDescent="0.3">
      <c r="E28" s="10" t="str">
        <f>'Plant Expenditure and Info'!E50</f>
        <v>Second phase plant size added</v>
      </c>
      <c r="F28" s="10">
        <f>'Plant Expenditure and Info'!F50</f>
        <v>30</v>
      </c>
      <c r="G28" s="10" t="str">
        <f>'Plant Expenditure and Info'!G50</f>
        <v>kWp</v>
      </c>
    </row>
    <row r="31" spans="4:7" x14ac:dyDescent="0.3">
      <c r="D31" s="1" t="s">
        <v>317</v>
      </c>
    </row>
    <row r="32" spans="4:7" x14ac:dyDescent="0.3">
      <c r="E32" t="s">
        <v>117</v>
      </c>
      <c r="F32" s="4">
        <f>F7*F14</f>
        <v>3000</v>
      </c>
      <c r="G32" t="s">
        <v>112</v>
      </c>
    </row>
    <row r="33" spans="4:35" x14ac:dyDescent="0.3">
      <c r="E33" t="s">
        <v>118</v>
      </c>
      <c r="F33" s="4">
        <f>F11*F15</f>
        <v>1200</v>
      </c>
      <c r="G33" t="s">
        <v>112</v>
      </c>
    </row>
    <row r="34" spans="4:35" x14ac:dyDescent="0.3">
      <c r="E34" s="10" t="str">
        <f>General!E43</f>
        <v>Number of months in a year</v>
      </c>
      <c r="F34" s="10">
        <f>General!F43</f>
        <v>12</v>
      </c>
      <c r="G34" s="10" t="str">
        <f>General!G43</f>
        <v>months</v>
      </c>
    </row>
    <row r="36" spans="4:35" x14ac:dyDescent="0.3">
      <c r="E36" t="s">
        <v>119</v>
      </c>
      <c r="F36" s="4">
        <f>F32*$F$34</f>
        <v>36000</v>
      </c>
      <c r="G36" t="s">
        <v>114</v>
      </c>
    </row>
    <row r="37" spans="4:35" x14ac:dyDescent="0.3">
      <c r="E37" t="s">
        <v>120</v>
      </c>
      <c r="F37" s="4">
        <f>F33*$F$34</f>
        <v>14400</v>
      </c>
      <c r="G37" t="s">
        <v>114</v>
      </c>
    </row>
    <row r="40" spans="4:35" x14ac:dyDescent="0.3">
      <c r="E40" s="10"/>
      <c r="J40" s="12">
        <f>Time!F25</f>
        <v>0</v>
      </c>
      <c r="K40" s="12">
        <f>Time!G25</f>
        <v>1</v>
      </c>
      <c r="L40" s="12">
        <f>Time!H25</f>
        <v>2</v>
      </c>
      <c r="M40" s="12">
        <f>Time!I25</f>
        <v>3</v>
      </c>
      <c r="N40" s="12">
        <f>Time!J25</f>
        <v>4</v>
      </c>
      <c r="O40" s="12">
        <f>Time!K25</f>
        <v>5</v>
      </c>
      <c r="P40" s="12">
        <f>Time!L25</f>
        <v>6</v>
      </c>
      <c r="Q40" s="12">
        <f>Time!M25</f>
        <v>7</v>
      </c>
      <c r="R40" s="12">
        <f>Time!N25</f>
        <v>8</v>
      </c>
      <c r="S40" s="12">
        <f>Time!O25</f>
        <v>9</v>
      </c>
      <c r="T40" s="12">
        <f>Time!P25</f>
        <v>10</v>
      </c>
      <c r="U40" s="12">
        <f>Time!Q25</f>
        <v>11</v>
      </c>
      <c r="V40" s="12">
        <f>Time!R25</f>
        <v>12</v>
      </c>
      <c r="W40" s="12">
        <f>Time!S25</f>
        <v>13</v>
      </c>
      <c r="X40" s="12">
        <f>Time!T25</f>
        <v>14</v>
      </c>
      <c r="Y40" s="12">
        <f>Time!U25</f>
        <v>15</v>
      </c>
      <c r="Z40" s="12">
        <f>Time!V25</f>
        <v>16</v>
      </c>
      <c r="AA40" s="12">
        <f>Time!W25</f>
        <v>17</v>
      </c>
      <c r="AB40" s="12">
        <f>Time!X25</f>
        <v>18</v>
      </c>
      <c r="AC40" s="12">
        <f>Time!Y25</f>
        <v>19</v>
      </c>
      <c r="AD40" s="12">
        <f>Time!Z25</f>
        <v>20</v>
      </c>
      <c r="AE40" s="12">
        <f>Time!AA25</f>
        <v>21</v>
      </c>
      <c r="AF40" s="12">
        <f>Time!AB25</f>
        <v>22</v>
      </c>
      <c r="AG40" s="12">
        <f>Time!AC25</f>
        <v>23</v>
      </c>
      <c r="AH40" s="12">
        <f>Time!AD25</f>
        <v>24</v>
      </c>
      <c r="AI40" s="12">
        <f>Time!AE25</f>
        <v>25</v>
      </c>
    </row>
    <row r="41" spans="4:35" x14ac:dyDescent="0.3">
      <c r="E41" s="10" t="str">
        <f>Time!E26</f>
        <v>Years</v>
      </c>
      <c r="J41" s="1">
        <f>Time!F26</f>
        <v>2020</v>
      </c>
      <c r="K41" s="1">
        <f>Time!G26</f>
        <v>2021</v>
      </c>
      <c r="L41" s="1">
        <f>Time!H26</f>
        <v>2022</v>
      </c>
      <c r="M41" s="1">
        <f>Time!I26</f>
        <v>2023</v>
      </c>
      <c r="N41" s="1">
        <f>Time!J26</f>
        <v>2024</v>
      </c>
      <c r="O41" s="1">
        <f>Time!K26</f>
        <v>2025</v>
      </c>
      <c r="P41" s="1">
        <f>Time!L26</f>
        <v>2026</v>
      </c>
      <c r="Q41" s="1">
        <f>Time!M26</f>
        <v>2027</v>
      </c>
      <c r="R41" s="1">
        <f>Time!N26</f>
        <v>2028</v>
      </c>
      <c r="S41" s="1">
        <f>Time!O26</f>
        <v>2029</v>
      </c>
      <c r="T41" s="1">
        <f>Time!P26</f>
        <v>2030</v>
      </c>
      <c r="U41" s="1">
        <f>Time!Q26</f>
        <v>2031</v>
      </c>
      <c r="V41" s="1">
        <f>Time!R26</f>
        <v>2032</v>
      </c>
      <c r="W41" s="1">
        <f>Time!S26</f>
        <v>2033</v>
      </c>
      <c r="X41" s="1">
        <f>Time!T26</f>
        <v>2034</v>
      </c>
      <c r="Y41" s="1">
        <f>Time!U26</f>
        <v>2035</v>
      </c>
      <c r="Z41" s="1">
        <f>Time!V26</f>
        <v>2036</v>
      </c>
      <c r="AA41" s="1">
        <f>Time!W26</f>
        <v>2037</v>
      </c>
      <c r="AB41" s="1">
        <f>Time!X26</f>
        <v>2038</v>
      </c>
      <c r="AC41" s="1">
        <f>Time!Y26</f>
        <v>2039</v>
      </c>
      <c r="AD41" s="1">
        <f>Time!Z26</f>
        <v>2040</v>
      </c>
      <c r="AE41" s="1">
        <f>Time!AA26</f>
        <v>2041</v>
      </c>
      <c r="AF41" s="1">
        <f>Time!AB26</f>
        <v>2042</v>
      </c>
      <c r="AG41" s="1">
        <f>Time!AC26</f>
        <v>2043</v>
      </c>
      <c r="AH41" s="1">
        <f>Time!AD26</f>
        <v>2044</v>
      </c>
      <c r="AI41" s="1">
        <f>Time!AE26</f>
        <v>2045</v>
      </c>
    </row>
    <row r="43" spans="4:35" x14ac:dyDescent="0.3">
      <c r="G43" s="1" t="s">
        <v>25</v>
      </c>
      <c r="H43" s="15" t="s">
        <v>102</v>
      </c>
    </row>
    <row r="45" spans="4:35" x14ac:dyDescent="0.3">
      <c r="E45" t="str">
        <f>Time!E27</f>
        <v>Full time period flag</v>
      </c>
      <c r="G45" t="s">
        <v>326</v>
      </c>
      <c r="J45" s="10">
        <f>Time!F27</f>
        <v>0</v>
      </c>
      <c r="K45" s="10">
        <f>Time!G27</f>
        <v>1</v>
      </c>
      <c r="L45" s="10">
        <f>Time!H27</f>
        <v>1</v>
      </c>
      <c r="M45" s="10">
        <f>Time!I27</f>
        <v>1</v>
      </c>
      <c r="N45" s="10">
        <f>Time!J27</f>
        <v>1</v>
      </c>
      <c r="O45" s="10">
        <f>Time!K27</f>
        <v>1</v>
      </c>
      <c r="P45" s="10">
        <f>Time!L27</f>
        <v>1</v>
      </c>
      <c r="Q45" s="10">
        <f>Time!M27</f>
        <v>1</v>
      </c>
      <c r="R45" s="10">
        <f>Time!N27</f>
        <v>1</v>
      </c>
      <c r="S45" s="10">
        <f>Time!O27</f>
        <v>1</v>
      </c>
      <c r="T45" s="10">
        <f>Time!P27</f>
        <v>1</v>
      </c>
      <c r="U45" s="10">
        <f>Time!Q27</f>
        <v>1</v>
      </c>
      <c r="V45" s="10">
        <f>Time!R27</f>
        <v>1</v>
      </c>
      <c r="W45" s="10">
        <f>Time!S27</f>
        <v>1</v>
      </c>
      <c r="X45" s="10">
        <f>Time!T27</f>
        <v>1</v>
      </c>
      <c r="Y45" s="10">
        <f>Time!U27</f>
        <v>1</v>
      </c>
      <c r="Z45" s="10">
        <f>Time!V27</f>
        <v>1</v>
      </c>
      <c r="AA45" s="10">
        <f>Time!W27</f>
        <v>1</v>
      </c>
      <c r="AB45" s="10">
        <f>Time!X27</f>
        <v>1</v>
      </c>
      <c r="AC45" s="10">
        <f>Time!Y27</f>
        <v>1</v>
      </c>
      <c r="AD45" s="10">
        <f>Time!Z27</f>
        <v>1</v>
      </c>
      <c r="AE45" s="10">
        <f>Time!AA27</f>
        <v>1</v>
      </c>
      <c r="AF45" s="10">
        <f>Time!AB27</f>
        <v>1</v>
      </c>
      <c r="AG45" s="10">
        <f>Time!AC27</f>
        <v>1</v>
      </c>
      <c r="AH45" s="10">
        <f>Time!AD27</f>
        <v>1</v>
      </c>
      <c r="AI45" s="10">
        <f>Time!AE27</f>
        <v>1</v>
      </c>
    </row>
    <row r="46" spans="4:35" x14ac:dyDescent="0.3">
      <c r="J46" s="10"/>
      <c r="K46" s="10"/>
      <c r="L46" s="10"/>
      <c r="M46" s="10"/>
      <c r="N46" s="10"/>
      <c r="O46" s="10"/>
      <c r="P46" s="10"/>
      <c r="Q46" s="10"/>
      <c r="R46" s="10"/>
      <c r="S46" s="10"/>
      <c r="T46" s="10"/>
      <c r="U46" s="10"/>
      <c r="V46" s="10"/>
      <c r="W46" s="10"/>
      <c r="X46" s="10"/>
      <c r="Y46" s="10"/>
      <c r="Z46" s="10"/>
      <c r="AA46" s="10"/>
      <c r="AB46" s="10"/>
      <c r="AC46" s="10"/>
      <c r="AD46" s="10"/>
      <c r="AE46" s="10"/>
      <c r="AF46" s="10"/>
      <c r="AG46" s="10"/>
      <c r="AH46" s="10"/>
      <c r="AI46" s="10"/>
    </row>
    <row r="47" spans="4:35" x14ac:dyDescent="0.3">
      <c r="D47" s="1" t="s">
        <v>331</v>
      </c>
      <c r="J47" s="10"/>
      <c r="K47" s="10"/>
      <c r="L47" s="10"/>
      <c r="M47" s="10"/>
      <c r="N47" s="10"/>
      <c r="O47" s="10"/>
      <c r="P47" s="10"/>
      <c r="Q47" s="10"/>
      <c r="R47" s="10"/>
      <c r="S47" s="10"/>
      <c r="T47" s="10"/>
      <c r="U47" s="10"/>
      <c r="V47" s="10"/>
      <c r="W47" s="10"/>
      <c r="X47" s="10"/>
      <c r="Y47" s="10"/>
      <c r="Z47" s="10"/>
      <c r="AA47" s="10"/>
      <c r="AB47" s="10"/>
      <c r="AC47" s="10"/>
      <c r="AD47" s="10"/>
      <c r="AE47" s="10"/>
      <c r="AF47" s="10"/>
      <c r="AG47" s="10"/>
      <c r="AH47" s="10"/>
      <c r="AI47" s="10"/>
    </row>
    <row r="48" spans="4:35" x14ac:dyDescent="0.3">
      <c r="E48" t="s">
        <v>119</v>
      </c>
      <c r="G48" t="s">
        <v>114</v>
      </c>
      <c r="J48" s="10">
        <f>J45</f>
        <v>0</v>
      </c>
      <c r="K48" s="19">
        <f t="shared" ref="K48:AI48" si="0">IF(J45=0,$F$36,J48*(1+$F$17))</f>
        <v>36000</v>
      </c>
      <c r="L48" s="19">
        <f t="shared" si="0"/>
        <v>36360</v>
      </c>
      <c r="M48" s="19">
        <f t="shared" si="0"/>
        <v>36723.599999999999</v>
      </c>
      <c r="N48" s="19">
        <f t="shared" si="0"/>
        <v>37090.835999999996</v>
      </c>
      <c r="O48" s="19">
        <f t="shared" si="0"/>
        <v>37461.744359999997</v>
      </c>
      <c r="P48" s="19">
        <f t="shared" si="0"/>
        <v>37836.361803599997</v>
      </c>
      <c r="Q48" s="19">
        <f t="shared" si="0"/>
        <v>38214.725421635994</v>
      </c>
      <c r="R48" s="19">
        <f t="shared" si="0"/>
        <v>38596.872675852355</v>
      </c>
      <c r="S48" s="19">
        <f t="shared" si="0"/>
        <v>38982.84140261088</v>
      </c>
      <c r="T48" s="19">
        <f t="shared" si="0"/>
        <v>39372.66981663699</v>
      </c>
      <c r="U48" s="19">
        <f t="shared" si="0"/>
        <v>39766.39651480336</v>
      </c>
      <c r="V48" s="19">
        <f t="shared" si="0"/>
        <v>40164.060479951397</v>
      </c>
      <c r="W48" s="19">
        <f t="shared" si="0"/>
        <v>40565.701084750908</v>
      </c>
      <c r="X48" s="19">
        <f t="shared" si="0"/>
        <v>40971.358095598414</v>
      </c>
      <c r="Y48" s="19">
        <f t="shared" si="0"/>
        <v>41381.071676554398</v>
      </c>
      <c r="Z48" s="19">
        <f t="shared" si="0"/>
        <v>41794.882393319946</v>
      </c>
      <c r="AA48" s="19">
        <f t="shared" si="0"/>
        <v>42212.831217253144</v>
      </c>
      <c r="AB48" s="19">
        <f t="shared" si="0"/>
        <v>42634.959529425672</v>
      </c>
      <c r="AC48" s="19">
        <f t="shared" si="0"/>
        <v>43061.309124719926</v>
      </c>
      <c r="AD48" s="19">
        <f t="shared" si="0"/>
        <v>43491.922215967126</v>
      </c>
      <c r="AE48" s="19">
        <f t="shared" si="0"/>
        <v>43926.841438126801</v>
      </c>
      <c r="AF48" s="19">
        <f t="shared" si="0"/>
        <v>44366.109852508067</v>
      </c>
      <c r="AG48" s="19">
        <f t="shared" si="0"/>
        <v>44809.770951033148</v>
      </c>
      <c r="AH48" s="19">
        <f t="shared" si="0"/>
        <v>45257.868660543478</v>
      </c>
      <c r="AI48" s="19">
        <f t="shared" si="0"/>
        <v>45710.447347148911</v>
      </c>
    </row>
    <row r="49" spans="4:35" x14ac:dyDescent="0.3">
      <c r="E49" t="s">
        <v>120</v>
      </c>
      <c r="G49" t="s">
        <v>114</v>
      </c>
      <c r="J49" s="10">
        <f>J48</f>
        <v>0</v>
      </c>
      <c r="K49" s="19">
        <f>IF(J48=0,$F$37,J49*(1+$F$17))</f>
        <v>14400</v>
      </c>
      <c r="L49" s="19">
        <f t="shared" ref="L49:AI49" si="1">IF(K48=0,$F$36,K49*(1+$F$17))</f>
        <v>14544</v>
      </c>
      <c r="M49" s="19">
        <f t="shared" si="1"/>
        <v>14689.44</v>
      </c>
      <c r="N49" s="19">
        <f t="shared" si="1"/>
        <v>14836.334400000002</v>
      </c>
      <c r="O49" s="19">
        <f t="shared" si="1"/>
        <v>14984.697744000001</v>
      </c>
      <c r="P49" s="19">
        <f t="shared" si="1"/>
        <v>15134.544721440001</v>
      </c>
      <c r="Q49" s="19">
        <f t="shared" si="1"/>
        <v>15285.890168654401</v>
      </c>
      <c r="R49" s="19">
        <f t="shared" si="1"/>
        <v>15438.749070340946</v>
      </c>
      <c r="S49" s="19">
        <f t="shared" si="1"/>
        <v>15593.136561044355</v>
      </c>
      <c r="T49" s="19">
        <f t="shared" si="1"/>
        <v>15749.0679266548</v>
      </c>
      <c r="U49" s="19">
        <f t="shared" si="1"/>
        <v>15906.558605921347</v>
      </c>
      <c r="V49" s="19">
        <f t="shared" si="1"/>
        <v>16065.624191980562</v>
      </c>
      <c r="W49" s="19">
        <f t="shared" si="1"/>
        <v>16226.280433900367</v>
      </c>
      <c r="X49" s="19">
        <f t="shared" si="1"/>
        <v>16388.54323823937</v>
      </c>
      <c r="Y49" s="19">
        <f t="shared" si="1"/>
        <v>16552.428670621764</v>
      </c>
      <c r="Z49" s="19">
        <f t="shared" si="1"/>
        <v>16717.952957327983</v>
      </c>
      <c r="AA49" s="19">
        <f t="shared" si="1"/>
        <v>16885.132486901264</v>
      </c>
      <c r="AB49" s="19">
        <f t="shared" si="1"/>
        <v>17053.983811770278</v>
      </c>
      <c r="AC49" s="19">
        <f t="shared" si="1"/>
        <v>17224.523649887982</v>
      </c>
      <c r="AD49" s="19">
        <f t="shared" si="1"/>
        <v>17396.768886386861</v>
      </c>
      <c r="AE49" s="19">
        <f t="shared" si="1"/>
        <v>17570.736575250728</v>
      </c>
      <c r="AF49" s="19">
        <f t="shared" si="1"/>
        <v>17746.443941003236</v>
      </c>
      <c r="AG49" s="19">
        <f t="shared" si="1"/>
        <v>17923.908380413268</v>
      </c>
      <c r="AH49" s="19">
        <f t="shared" si="1"/>
        <v>18103.1474642174</v>
      </c>
      <c r="AI49" s="19">
        <f t="shared" si="1"/>
        <v>18284.178938859575</v>
      </c>
    </row>
    <row r="51" spans="4:35" x14ac:dyDescent="0.3">
      <c r="E51" s="1" t="s">
        <v>236</v>
      </c>
      <c r="G51" t="s">
        <v>319</v>
      </c>
      <c r="H51">
        <f>SUM(J51:AI51)</f>
        <v>1423457.2548868575</v>
      </c>
      <c r="J51" s="19">
        <f>J48+J49</f>
        <v>0</v>
      </c>
      <c r="K51" s="19">
        <f>K48+K49</f>
        <v>50400</v>
      </c>
      <c r="L51" s="19">
        <f>L48+L49</f>
        <v>50904</v>
      </c>
      <c r="M51" s="19">
        <f t="shared" ref="M51:AI51" si="2">M48+M49</f>
        <v>51413.04</v>
      </c>
      <c r="N51" s="19">
        <f t="shared" si="2"/>
        <v>51927.170399999995</v>
      </c>
      <c r="O51" s="19">
        <f t="shared" si="2"/>
        <v>52446.442104000002</v>
      </c>
      <c r="P51" s="19">
        <f t="shared" si="2"/>
        <v>52970.906525040002</v>
      </c>
      <c r="Q51" s="19">
        <f t="shared" si="2"/>
        <v>53500.615590290399</v>
      </c>
      <c r="R51" s="19">
        <f t="shared" si="2"/>
        <v>54035.621746193297</v>
      </c>
      <c r="S51" s="19">
        <f t="shared" si="2"/>
        <v>54575.977963655234</v>
      </c>
      <c r="T51" s="19">
        <f t="shared" si="2"/>
        <v>55121.737743291786</v>
      </c>
      <c r="U51" s="19">
        <f t="shared" si="2"/>
        <v>55672.955120724706</v>
      </c>
      <c r="V51" s="19">
        <f t="shared" si="2"/>
        <v>56229.684671931958</v>
      </c>
      <c r="W51" s="19">
        <f t="shared" si="2"/>
        <v>56791.981518651271</v>
      </c>
      <c r="X51" s="19">
        <f t="shared" si="2"/>
        <v>57359.901333837784</v>
      </c>
      <c r="Y51" s="19">
        <f t="shared" si="2"/>
        <v>57933.500347176159</v>
      </c>
      <c r="Z51" s="19">
        <f t="shared" si="2"/>
        <v>58512.835350647933</v>
      </c>
      <c r="AA51" s="19">
        <f t="shared" si="2"/>
        <v>59097.963704154405</v>
      </c>
      <c r="AB51" s="19">
        <f t="shared" si="2"/>
        <v>59688.943341195947</v>
      </c>
      <c r="AC51" s="19">
        <f t="shared" si="2"/>
        <v>60285.832774607909</v>
      </c>
      <c r="AD51" s="19">
        <f t="shared" si="2"/>
        <v>60888.691102353987</v>
      </c>
      <c r="AE51" s="19">
        <f t="shared" si="2"/>
        <v>61497.578013377526</v>
      </c>
      <c r="AF51" s="19">
        <f t="shared" si="2"/>
        <v>62112.553793511303</v>
      </c>
      <c r="AG51" s="19">
        <f t="shared" si="2"/>
        <v>62733.679331446416</v>
      </c>
      <c r="AH51" s="19">
        <f t="shared" si="2"/>
        <v>63361.016124760878</v>
      </c>
      <c r="AI51" s="19">
        <f t="shared" si="2"/>
        <v>63994.626286008483</v>
      </c>
    </row>
    <row r="53" spans="4:35" x14ac:dyDescent="0.3">
      <c r="D53" s="1" t="s">
        <v>330</v>
      </c>
    </row>
    <row r="54" spans="4:35" x14ac:dyDescent="0.3">
      <c r="E54" t="s">
        <v>329</v>
      </c>
      <c r="G54" t="s">
        <v>114</v>
      </c>
      <c r="J54">
        <f>F23*F20</f>
        <v>33000</v>
      </c>
      <c r="K54">
        <f>J54*(1-$F$22)</f>
        <v>32835</v>
      </c>
      <c r="L54">
        <f t="shared" ref="L54:AI54" si="3">K54*(1-$F$22)</f>
        <v>32670.825000000001</v>
      </c>
      <c r="M54">
        <f t="shared" si="3"/>
        <v>32507.470874999999</v>
      </c>
      <c r="N54">
        <f t="shared" si="3"/>
        <v>32344.933520625</v>
      </c>
      <c r="O54">
        <f t="shared" si="3"/>
        <v>32183.208853021875</v>
      </c>
      <c r="P54">
        <f t="shared" si="3"/>
        <v>32022.292808756767</v>
      </c>
      <c r="Q54">
        <f t="shared" si="3"/>
        <v>31862.181344712983</v>
      </c>
      <c r="R54">
        <f t="shared" si="3"/>
        <v>31702.870437989419</v>
      </c>
      <c r="S54">
        <f t="shared" si="3"/>
        <v>31544.356085799471</v>
      </c>
      <c r="T54">
        <f t="shared" si="3"/>
        <v>31386.634305370473</v>
      </c>
      <c r="U54">
        <f t="shared" si="3"/>
        <v>31229.70113384362</v>
      </c>
      <c r="V54">
        <f t="shared" si="3"/>
        <v>31073.552628174402</v>
      </c>
      <c r="W54">
        <f t="shared" si="3"/>
        <v>30918.184865033531</v>
      </c>
      <c r="X54">
        <f t="shared" si="3"/>
        <v>30763.593940708364</v>
      </c>
      <c r="Y54">
        <f t="shared" si="3"/>
        <v>30609.775971004823</v>
      </c>
      <c r="Z54">
        <f t="shared" si="3"/>
        <v>30456.727091149798</v>
      </c>
      <c r="AA54">
        <f t="shared" si="3"/>
        <v>30304.44345569405</v>
      </c>
      <c r="AB54">
        <f t="shared" si="3"/>
        <v>30152.92123841558</v>
      </c>
      <c r="AC54">
        <f t="shared" si="3"/>
        <v>30002.156632223501</v>
      </c>
      <c r="AD54">
        <f t="shared" si="3"/>
        <v>29852.145849062385</v>
      </c>
      <c r="AE54">
        <f t="shared" si="3"/>
        <v>29702.885119817074</v>
      </c>
      <c r="AF54">
        <f t="shared" si="3"/>
        <v>29554.370694217989</v>
      </c>
      <c r="AG54">
        <f t="shared" si="3"/>
        <v>29406.598840746898</v>
      </c>
      <c r="AH54">
        <f t="shared" si="3"/>
        <v>29259.565846543162</v>
      </c>
      <c r="AI54">
        <f t="shared" si="3"/>
        <v>29113.268017310445</v>
      </c>
    </row>
    <row r="56" spans="4:35" x14ac:dyDescent="0.3">
      <c r="E56" t="str">
        <f>Time!E45</f>
        <v>Year of first growth phase</v>
      </c>
      <c r="G56" t="s">
        <v>326</v>
      </c>
      <c r="J56">
        <f>Time!F45</f>
        <v>0</v>
      </c>
      <c r="K56">
        <f>Time!G45</f>
        <v>0</v>
      </c>
      <c r="L56">
        <f>Time!H45</f>
        <v>0</v>
      </c>
      <c r="M56">
        <f>Time!I45</f>
        <v>0</v>
      </c>
      <c r="N56">
        <f>Time!J45</f>
        <v>0</v>
      </c>
      <c r="O56">
        <f>Time!K45</f>
        <v>0</v>
      </c>
      <c r="P56">
        <f>Time!L45</f>
        <v>0</v>
      </c>
      <c r="Q56">
        <f>Time!M45</f>
        <v>0</v>
      </c>
      <c r="R56">
        <f>Time!N45</f>
        <v>0</v>
      </c>
      <c r="S56">
        <f>Time!O45</f>
        <v>1</v>
      </c>
      <c r="T56">
        <f>Time!P45</f>
        <v>0</v>
      </c>
      <c r="U56">
        <f>Time!Q45</f>
        <v>0</v>
      </c>
      <c r="V56">
        <f>Time!R45</f>
        <v>0</v>
      </c>
      <c r="W56">
        <f>Time!S45</f>
        <v>0</v>
      </c>
      <c r="X56">
        <f>Time!T45</f>
        <v>0</v>
      </c>
      <c r="Y56">
        <f>Time!U45</f>
        <v>0</v>
      </c>
      <c r="Z56">
        <f>Time!V45</f>
        <v>0</v>
      </c>
      <c r="AA56">
        <f>Time!W45</f>
        <v>0</v>
      </c>
      <c r="AB56">
        <f>Time!X45</f>
        <v>0</v>
      </c>
      <c r="AC56">
        <f>Time!Y45</f>
        <v>0</v>
      </c>
      <c r="AD56">
        <f>Time!Z45</f>
        <v>0</v>
      </c>
      <c r="AE56">
        <f>Time!AA45</f>
        <v>0</v>
      </c>
      <c r="AF56">
        <f>Time!AB45</f>
        <v>0</v>
      </c>
      <c r="AG56">
        <f>Time!AC45</f>
        <v>0</v>
      </c>
      <c r="AH56">
        <f>Time!AD45</f>
        <v>0</v>
      </c>
      <c r="AI56">
        <f>Time!AE45</f>
        <v>0</v>
      </c>
    </row>
    <row r="57" spans="4:35" x14ac:dyDescent="0.3">
      <c r="E57" t="s">
        <v>325</v>
      </c>
      <c r="G57" t="s">
        <v>114</v>
      </c>
      <c r="J57">
        <f>IF(J56=1,$F$27*$F$23,IF(I57&gt;0,I57*(1-$F$22),0))</f>
        <v>0</v>
      </c>
      <c r="K57">
        <f t="shared" ref="K57:AI57" si="4">IF(K56=1,$F$27*$F$23,IF(J57&gt;0,J57*(1-$F$22),0))</f>
        <v>0</v>
      </c>
      <c r="L57">
        <f t="shared" si="4"/>
        <v>0</v>
      </c>
      <c r="M57">
        <f t="shared" si="4"/>
        <v>0</v>
      </c>
      <c r="N57">
        <f t="shared" si="4"/>
        <v>0</v>
      </c>
      <c r="O57">
        <f t="shared" si="4"/>
        <v>0</v>
      </c>
      <c r="P57">
        <f t="shared" si="4"/>
        <v>0</v>
      </c>
      <c r="Q57">
        <f t="shared" si="4"/>
        <v>0</v>
      </c>
      <c r="R57">
        <f t="shared" si="4"/>
        <v>0</v>
      </c>
      <c r="S57">
        <f t="shared" si="4"/>
        <v>33000</v>
      </c>
      <c r="T57">
        <f t="shared" si="4"/>
        <v>32835</v>
      </c>
      <c r="U57">
        <f t="shared" si="4"/>
        <v>32670.825000000001</v>
      </c>
      <c r="V57">
        <f t="shared" si="4"/>
        <v>32507.470874999999</v>
      </c>
      <c r="W57">
        <f t="shared" si="4"/>
        <v>32344.933520625</v>
      </c>
      <c r="X57">
        <f t="shared" si="4"/>
        <v>32183.208853021875</v>
      </c>
      <c r="Y57">
        <f t="shared" si="4"/>
        <v>32022.292808756767</v>
      </c>
      <c r="Z57">
        <f t="shared" si="4"/>
        <v>31862.181344712983</v>
      </c>
      <c r="AA57">
        <f t="shared" si="4"/>
        <v>31702.870437989419</v>
      </c>
      <c r="AB57">
        <f t="shared" si="4"/>
        <v>31544.356085799471</v>
      </c>
      <c r="AC57">
        <f t="shared" si="4"/>
        <v>31386.634305370473</v>
      </c>
      <c r="AD57">
        <f t="shared" si="4"/>
        <v>31229.70113384362</v>
      </c>
      <c r="AE57">
        <f t="shared" si="4"/>
        <v>31073.552628174402</v>
      </c>
      <c r="AF57">
        <f t="shared" si="4"/>
        <v>30918.184865033531</v>
      </c>
      <c r="AG57">
        <f t="shared" si="4"/>
        <v>30763.593940708364</v>
      </c>
      <c r="AH57">
        <f t="shared" si="4"/>
        <v>30609.775971004823</v>
      </c>
      <c r="AI57">
        <f t="shared" si="4"/>
        <v>30456.727091149798</v>
      </c>
    </row>
    <row r="59" spans="4:35" x14ac:dyDescent="0.3">
      <c r="E59" t="str">
        <f>Time!E47</f>
        <v>Year of second growth phase</v>
      </c>
      <c r="G59" t="s">
        <v>326</v>
      </c>
      <c r="J59">
        <f>Time!F47</f>
        <v>0</v>
      </c>
      <c r="K59">
        <f>Time!G47</f>
        <v>0</v>
      </c>
      <c r="L59">
        <f>Time!H47</f>
        <v>0</v>
      </c>
      <c r="M59">
        <f>Time!I47</f>
        <v>0</v>
      </c>
      <c r="N59">
        <f>Time!J47</f>
        <v>0</v>
      </c>
      <c r="O59">
        <f>Time!K47</f>
        <v>0</v>
      </c>
      <c r="P59">
        <f>Time!L47</f>
        <v>0</v>
      </c>
      <c r="Q59">
        <f>Time!M47</f>
        <v>0</v>
      </c>
      <c r="R59">
        <f>Time!N47</f>
        <v>0</v>
      </c>
      <c r="S59">
        <f>Time!O47</f>
        <v>0</v>
      </c>
      <c r="T59">
        <f>Time!P47</f>
        <v>0</v>
      </c>
      <c r="U59">
        <f>Time!Q47</f>
        <v>0</v>
      </c>
      <c r="V59">
        <f>Time!R47</f>
        <v>0</v>
      </c>
      <c r="W59">
        <f>Time!S47</f>
        <v>0</v>
      </c>
      <c r="X59">
        <f>Time!T47</f>
        <v>0</v>
      </c>
      <c r="Y59">
        <f>Time!U47</f>
        <v>0</v>
      </c>
      <c r="Z59">
        <f>Time!V47</f>
        <v>0</v>
      </c>
      <c r="AA59">
        <f>Time!W47</f>
        <v>0</v>
      </c>
      <c r="AB59">
        <f>Time!X47</f>
        <v>1</v>
      </c>
      <c r="AC59">
        <f>Time!Y47</f>
        <v>0</v>
      </c>
      <c r="AD59">
        <f>Time!Z47</f>
        <v>0</v>
      </c>
      <c r="AE59">
        <f>Time!AA47</f>
        <v>0</v>
      </c>
      <c r="AF59">
        <f>Time!AB47</f>
        <v>0</v>
      </c>
      <c r="AG59">
        <f>Time!AC47</f>
        <v>0</v>
      </c>
      <c r="AH59">
        <f>Time!AD47</f>
        <v>0</v>
      </c>
      <c r="AI59">
        <f>Time!AE47</f>
        <v>0</v>
      </c>
    </row>
    <row r="60" spans="4:35" x14ac:dyDescent="0.3">
      <c r="E60" t="s">
        <v>327</v>
      </c>
      <c r="G60" t="s">
        <v>114</v>
      </c>
      <c r="J60">
        <f>IF(J59=1,$F$28*$F$23,IF(I60&gt;0,I60*(1-$F$22),0))</f>
        <v>0</v>
      </c>
      <c r="K60">
        <f t="shared" ref="K60:AI60" si="5">IF(K59=1,$F$28*$F$23,IF(J60&gt;0,J60*(1-$F$22),0))</f>
        <v>0</v>
      </c>
      <c r="L60">
        <f t="shared" si="5"/>
        <v>0</v>
      </c>
      <c r="M60">
        <f t="shared" si="5"/>
        <v>0</v>
      </c>
      <c r="N60">
        <f t="shared" si="5"/>
        <v>0</v>
      </c>
      <c r="O60">
        <f t="shared" si="5"/>
        <v>0</v>
      </c>
      <c r="P60">
        <f t="shared" si="5"/>
        <v>0</v>
      </c>
      <c r="Q60">
        <f t="shared" si="5"/>
        <v>0</v>
      </c>
      <c r="R60">
        <f t="shared" si="5"/>
        <v>0</v>
      </c>
      <c r="S60">
        <f t="shared" si="5"/>
        <v>0</v>
      </c>
      <c r="T60">
        <f t="shared" si="5"/>
        <v>0</v>
      </c>
      <c r="U60">
        <f t="shared" si="5"/>
        <v>0</v>
      </c>
      <c r="V60">
        <f t="shared" si="5"/>
        <v>0</v>
      </c>
      <c r="W60">
        <f t="shared" si="5"/>
        <v>0</v>
      </c>
      <c r="X60">
        <f t="shared" si="5"/>
        <v>0</v>
      </c>
      <c r="Y60">
        <f t="shared" si="5"/>
        <v>0</v>
      </c>
      <c r="Z60">
        <f t="shared" si="5"/>
        <v>0</v>
      </c>
      <c r="AA60">
        <f t="shared" si="5"/>
        <v>0</v>
      </c>
      <c r="AB60">
        <f t="shared" si="5"/>
        <v>49500</v>
      </c>
      <c r="AC60">
        <f t="shared" si="5"/>
        <v>49252.5</v>
      </c>
      <c r="AD60">
        <f t="shared" si="5"/>
        <v>49006.237500000003</v>
      </c>
      <c r="AE60">
        <f t="shared" si="5"/>
        <v>48761.206312500006</v>
      </c>
      <c r="AF60">
        <f t="shared" si="5"/>
        <v>48517.400280937509</v>
      </c>
      <c r="AG60">
        <f t="shared" si="5"/>
        <v>48274.81327953282</v>
      </c>
      <c r="AH60">
        <f t="shared" si="5"/>
        <v>48033.439213135156</v>
      </c>
      <c r="AI60">
        <f t="shared" si="5"/>
        <v>47793.272017069481</v>
      </c>
    </row>
    <row r="62" spans="4:35" x14ac:dyDescent="0.3">
      <c r="E62" s="1" t="s">
        <v>328</v>
      </c>
      <c r="G62" t="s">
        <v>114</v>
      </c>
      <c r="H62">
        <f>SUM(J62:AI62)</f>
        <v>1701709.8420195871</v>
      </c>
      <c r="J62">
        <f>IF(J45=1,J54+J57+J60,0)</f>
        <v>0</v>
      </c>
      <c r="K62">
        <f t="shared" ref="K62:AI62" si="6">IF(K45=1,K54+K57+K60,0)</f>
        <v>32835</v>
      </c>
      <c r="L62">
        <f t="shared" si="6"/>
        <v>32670.825000000001</v>
      </c>
      <c r="M62">
        <f t="shared" si="6"/>
        <v>32507.470874999999</v>
      </c>
      <c r="N62">
        <f t="shared" si="6"/>
        <v>32344.933520625</v>
      </c>
      <c r="O62">
        <f t="shared" si="6"/>
        <v>32183.208853021875</v>
      </c>
      <c r="P62">
        <f t="shared" si="6"/>
        <v>32022.292808756767</v>
      </c>
      <c r="Q62">
        <f t="shared" si="6"/>
        <v>31862.181344712983</v>
      </c>
      <c r="R62">
        <f t="shared" si="6"/>
        <v>31702.870437989419</v>
      </c>
      <c r="S62">
        <f t="shared" si="6"/>
        <v>64544.356085799474</v>
      </c>
      <c r="T62">
        <f t="shared" si="6"/>
        <v>64221.634305370477</v>
      </c>
      <c r="U62">
        <f t="shared" si="6"/>
        <v>63900.526133843625</v>
      </c>
      <c r="V62">
        <f t="shared" si="6"/>
        <v>63581.023503174401</v>
      </c>
      <c r="W62">
        <f t="shared" si="6"/>
        <v>63263.118385658527</v>
      </c>
      <c r="X62">
        <f t="shared" si="6"/>
        <v>62946.80279373024</v>
      </c>
      <c r="Y62">
        <f t="shared" si="6"/>
        <v>62632.06877976159</v>
      </c>
      <c r="Z62">
        <f t="shared" si="6"/>
        <v>62318.908435862781</v>
      </c>
      <c r="AA62">
        <f t="shared" si="6"/>
        <v>62007.313893683473</v>
      </c>
      <c r="AB62">
        <f t="shared" si="6"/>
        <v>111197.27732421504</v>
      </c>
      <c r="AC62">
        <f t="shared" si="6"/>
        <v>110641.29093759398</v>
      </c>
      <c r="AD62">
        <f t="shared" si="6"/>
        <v>110088.08448290601</v>
      </c>
      <c r="AE62">
        <f t="shared" si="6"/>
        <v>109537.64406049148</v>
      </c>
      <c r="AF62">
        <f t="shared" si="6"/>
        <v>108989.95584018902</v>
      </c>
      <c r="AG62">
        <f t="shared" si="6"/>
        <v>108445.00606098809</v>
      </c>
      <c r="AH62">
        <f t="shared" si="6"/>
        <v>107902.78103068314</v>
      </c>
      <c r="AI62">
        <f t="shared" si="6"/>
        <v>107363.26712552973</v>
      </c>
    </row>
    <row r="65" spans="1:1" x14ac:dyDescent="0.3">
      <c r="A65" s="1" t="s">
        <v>106</v>
      </c>
    </row>
  </sheetData>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tabColor rgb="FF00B0F0"/>
  </sheetPr>
  <dimension ref="A1:AI301"/>
  <sheetViews>
    <sheetView topLeftCell="A183" zoomScale="57" zoomScaleNormal="57" zoomScalePageLayoutView="57" workbookViewId="0">
      <selection activeCell="P292" sqref="P292"/>
    </sheetView>
  </sheetViews>
  <sheetFormatPr defaultColWidth="8.77734375" defaultRowHeight="14.4" x14ac:dyDescent="0.3"/>
  <cols>
    <col min="1" max="4" width="2.6640625" customWidth="1"/>
    <col min="5" max="5" width="68.33203125" bestFit="1" customWidth="1"/>
    <col min="6" max="6" width="19.44140625" bestFit="1" customWidth="1"/>
    <col min="7" max="7" width="41.6640625" bestFit="1" customWidth="1"/>
    <col min="8" max="8" width="10.33203125" bestFit="1" customWidth="1"/>
    <col min="9" max="9" width="4.6640625" customWidth="1"/>
    <col min="10" max="10" width="11.44140625" bestFit="1" customWidth="1"/>
    <col min="11" max="20" width="12.44140625" bestFit="1" customWidth="1"/>
    <col min="21" max="24" width="13.6640625" bestFit="1" customWidth="1"/>
    <col min="25" max="25" width="13.33203125" bestFit="1" customWidth="1"/>
    <col min="26" max="27" width="13" bestFit="1" customWidth="1"/>
    <col min="28" max="29" width="13.33203125" bestFit="1" customWidth="1"/>
    <col min="30" max="30" width="13" bestFit="1" customWidth="1"/>
    <col min="31" max="32" width="13.33203125" bestFit="1" customWidth="1"/>
    <col min="33" max="33" width="13" bestFit="1" customWidth="1"/>
    <col min="34" max="34" width="12.44140625" bestFit="1" customWidth="1"/>
    <col min="35" max="35" width="13.33203125" bestFit="1" customWidth="1"/>
  </cols>
  <sheetData>
    <row r="1" spans="1:35" ht="25.8" x14ac:dyDescent="0.3">
      <c r="A1" s="6" t="str">
        <f ca="1">MID(CELL("filename",A1),FIND("]",CELL("filename",A1))+1,255)</f>
        <v>Cashflow</v>
      </c>
    </row>
    <row r="3" spans="1:35" x14ac:dyDescent="0.3">
      <c r="E3" s="10" t="s">
        <v>31</v>
      </c>
      <c r="F3" s="10" t="str">
        <f>'Plant Expenditure and Info'!F7</f>
        <v>£</v>
      </c>
    </row>
    <row r="5" spans="1:35" x14ac:dyDescent="0.3">
      <c r="E5" t="s">
        <v>96</v>
      </c>
      <c r="J5" s="1">
        <f>Time!F25</f>
        <v>0</v>
      </c>
      <c r="K5" s="1">
        <f>Time!G25</f>
        <v>1</v>
      </c>
      <c r="L5" s="1">
        <f>Time!H25</f>
        <v>2</v>
      </c>
      <c r="M5" s="1">
        <f>Time!I25</f>
        <v>3</v>
      </c>
      <c r="N5" s="1">
        <f>Time!J25</f>
        <v>4</v>
      </c>
      <c r="O5" s="1">
        <f>Time!K25</f>
        <v>5</v>
      </c>
      <c r="P5" s="1">
        <f>Time!L25</f>
        <v>6</v>
      </c>
      <c r="Q5" s="1">
        <f>Time!M25</f>
        <v>7</v>
      </c>
      <c r="R5" s="1">
        <f>Time!N25</f>
        <v>8</v>
      </c>
      <c r="S5" s="1">
        <f>Time!O25</f>
        <v>9</v>
      </c>
      <c r="T5" s="1">
        <f>Time!P25</f>
        <v>10</v>
      </c>
      <c r="U5" s="1">
        <f>Time!Q25</f>
        <v>11</v>
      </c>
      <c r="V5" s="1">
        <f>Time!R25</f>
        <v>12</v>
      </c>
      <c r="W5" s="1">
        <f>Time!S25</f>
        <v>13</v>
      </c>
      <c r="X5" s="1">
        <f>Time!T25</f>
        <v>14</v>
      </c>
      <c r="Y5" s="1">
        <f>Time!U25</f>
        <v>15</v>
      </c>
      <c r="Z5" s="1">
        <f>Time!V25</f>
        <v>16</v>
      </c>
      <c r="AA5" s="1">
        <f>Time!W25</f>
        <v>17</v>
      </c>
      <c r="AB5" s="1">
        <f>Time!X25</f>
        <v>18</v>
      </c>
      <c r="AC5" s="1">
        <f>Time!Y25</f>
        <v>19</v>
      </c>
      <c r="AD5" s="1">
        <f>Time!Z25</f>
        <v>20</v>
      </c>
      <c r="AE5" s="1">
        <f>Time!AA25</f>
        <v>21</v>
      </c>
      <c r="AF5" s="1">
        <f>Time!AB25</f>
        <v>22</v>
      </c>
      <c r="AG5" s="1">
        <f>Time!AC25</f>
        <v>23</v>
      </c>
      <c r="AH5" s="1">
        <f>Time!AD25</f>
        <v>24</v>
      </c>
      <c r="AI5" s="1">
        <f>Time!AE25</f>
        <v>25</v>
      </c>
    </row>
    <row r="6" spans="1:35" x14ac:dyDescent="0.3">
      <c r="E6" s="12" t="str">
        <f>Time!E26</f>
        <v>Years</v>
      </c>
      <c r="J6" s="87">
        <f>Time!F26</f>
        <v>2020</v>
      </c>
      <c r="K6" s="87">
        <f>Time!G26</f>
        <v>2021</v>
      </c>
      <c r="L6" s="87">
        <f>Time!H26</f>
        <v>2022</v>
      </c>
      <c r="M6" s="87">
        <f>Time!I26</f>
        <v>2023</v>
      </c>
      <c r="N6" s="87">
        <f>Time!J26</f>
        <v>2024</v>
      </c>
      <c r="O6" s="87">
        <f>Time!K26</f>
        <v>2025</v>
      </c>
      <c r="P6" s="87">
        <f>Time!L26</f>
        <v>2026</v>
      </c>
      <c r="Q6" s="87">
        <f>Time!M26</f>
        <v>2027</v>
      </c>
      <c r="R6" s="87">
        <f>Time!N26</f>
        <v>2028</v>
      </c>
      <c r="S6" s="87">
        <f>Time!O26</f>
        <v>2029</v>
      </c>
      <c r="T6" s="87">
        <f>Time!P26</f>
        <v>2030</v>
      </c>
      <c r="U6" s="87">
        <f>Time!Q26</f>
        <v>2031</v>
      </c>
      <c r="V6" s="87">
        <f>Time!R26</f>
        <v>2032</v>
      </c>
      <c r="W6" s="87">
        <f>Time!S26</f>
        <v>2033</v>
      </c>
      <c r="X6" s="87">
        <f>Time!T26</f>
        <v>2034</v>
      </c>
      <c r="Y6" s="87">
        <f>Time!U26</f>
        <v>2035</v>
      </c>
      <c r="Z6" s="87">
        <f>Time!V26</f>
        <v>2036</v>
      </c>
      <c r="AA6" s="87">
        <f>Time!W26</f>
        <v>2037</v>
      </c>
      <c r="AB6" s="87">
        <f>Time!X26</f>
        <v>2038</v>
      </c>
      <c r="AC6" s="87">
        <f>Time!Y26</f>
        <v>2039</v>
      </c>
      <c r="AD6" s="87">
        <f>Time!Z26</f>
        <v>2040</v>
      </c>
      <c r="AE6" s="87">
        <f>Time!AA26</f>
        <v>2041</v>
      </c>
      <c r="AF6" s="87">
        <f>Time!AB26</f>
        <v>2042</v>
      </c>
      <c r="AG6" s="87">
        <f>Time!AC26</f>
        <v>2043</v>
      </c>
      <c r="AH6" s="87">
        <f>Time!AD26</f>
        <v>2044</v>
      </c>
      <c r="AI6" s="87">
        <f>Time!AE26</f>
        <v>2045</v>
      </c>
    </row>
    <row r="9" spans="1:35" x14ac:dyDescent="0.3">
      <c r="G9" s="1" t="s">
        <v>25</v>
      </c>
      <c r="H9" s="1" t="s">
        <v>275</v>
      </c>
    </row>
    <row r="10" spans="1:35" x14ac:dyDescent="0.3">
      <c r="B10" s="1" t="s">
        <v>100</v>
      </c>
    </row>
    <row r="12" spans="1:35" x14ac:dyDescent="0.3">
      <c r="D12" s="1" t="s">
        <v>97</v>
      </c>
    </row>
    <row r="13" spans="1:35" x14ac:dyDescent="0.3">
      <c r="E13" s="1" t="s">
        <v>98</v>
      </c>
      <c r="F13" s="4">
        <f>SUM('Plant Expenditure and Info'!$F$18:$F$27)</f>
        <v>5950</v>
      </c>
      <c r="G13" t="str">
        <f>$F$3</f>
        <v>£</v>
      </c>
    </row>
    <row r="14" spans="1:35" x14ac:dyDescent="0.3">
      <c r="E14" s="10" t="str">
        <f>'Plant Expenditure and Info'!E58</f>
        <v>Subsidy% on capital  expenditure</v>
      </c>
      <c r="F14" s="16">
        <f>'Plant Expenditure and Info'!F58</f>
        <v>0.2</v>
      </c>
      <c r="G14" s="10" t="str">
        <f>'Plant Expenditure and Info'!G58</f>
        <v>%</v>
      </c>
    </row>
    <row r="15" spans="1:35" x14ac:dyDescent="0.3">
      <c r="E15" s="1" t="s">
        <v>101</v>
      </c>
      <c r="G15" t="str">
        <f>F3</f>
        <v>£</v>
      </c>
      <c r="J15">
        <f>F13*(1-$F$14)</f>
        <v>4760</v>
      </c>
    </row>
    <row r="18" spans="4:35" x14ac:dyDescent="0.3">
      <c r="D18" s="1" t="s">
        <v>99</v>
      </c>
    </row>
    <row r="19" spans="4:35" x14ac:dyDescent="0.3">
      <c r="E19" s="10" t="str">
        <f>'Plant Expenditure and Info'!E32</f>
        <v>Yearly total operational expenditure</v>
      </c>
      <c r="F19" s="10">
        <f>'Plant Expenditure and Info'!F32</f>
        <v>200</v>
      </c>
      <c r="G19" s="10" t="str">
        <f>'Plant Expenditure and Info'!G32</f>
        <v>£/year</v>
      </c>
    </row>
    <row r="20" spans="4:35" x14ac:dyDescent="0.3">
      <c r="E20" s="10" t="str">
        <f>'Plant Expenditure and Info'!E59</f>
        <v>Subsidy% on operational  expenditure</v>
      </c>
      <c r="F20" s="10">
        <f>'Plant Expenditure and Info'!F59</f>
        <v>0</v>
      </c>
      <c r="G20" s="10" t="str">
        <f>'Plant Expenditure and Info'!G59</f>
        <v>%</v>
      </c>
    </row>
    <row r="21" spans="4:35" x14ac:dyDescent="0.3">
      <c r="E21" s="10" t="str">
        <f>'Plant Expenditure and Info'!E33</f>
        <v>O&amp;M Escalator (%)</v>
      </c>
      <c r="F21" s="16">
        <f>'Plant Expenditure and Info'!F33</f>
        <v>0.03</v>
      </c>
      <c r="G21" s="10" t="str">
        <f>'Plant Expenditure and Info'!G33</f>
        <v>%</v>
      </c>
    </row>
    <row r="22" spans="4:35" x14ac:dyDescent="0.3">
      <c r="E22" s="10" t="str">
        <f>Time!E27</f>
        <v>Full time period flag</v>
      </c>
      <c r="F22" s="10"/>
      <c r="G22" s="10"/>
      <c r="J22" s="10">
        <f>Time!F27</f>
        <v>0</v>
      </c>
      <c r="K22" s="10">
        <f>Time!G27</f>
        <v>1</v>
      </c>
      <c r="L22" s="10">
        <f>Time!H27</f>
        <v>1</v>
      </c>
      <c r="M22" s="10">
        <f>Time!I27</f>
        <v>1</v>
      </c>
      <c r="N22" s="10">
        <f>Time!J27</f>
        <v>1</v>
      </c>
      <c r="O22" s="10">
        <f>Time!K27</f>
        <v>1</v>
      </c>
      <c r="P22" s="10">
        <f>Time!L27</f>
        <v>1</v>
      </c>
      <c r="Q22" s="10">
        <f>Time!M27</f>
        <v>1</v>
      </c>
      <c r="R22" s="10">
        <f>Time!N27</f>
        <v>1</v>
      </c>
      <c r="S22" s="10">
        <f>Time!O27</f>
        <v>1</v>
      </c>
      <c r="T22" s="10">
        <f>Time!P27</f>
        <v>1</v>
      </c>
      <c r="U22" s="10">
        <f>Time!Q27</f>
        <v>1</v>
      </c>
      <c r="V22" s="10">
        <f>Time!R27</f>
        <v>1</v>
      </c>
      <c r="W22" s="10">
        <f>Time!S27</f>
        <v>1</v>
      </c>
      <c r="X22" s="10">
        <f>Time!T27</f>
        <v>1</v>
      </c>
      <c r="Y22" s="10">
        <f>Time!U27</f>
        <v>1</v>
      </c>
      <c r="Z22" s="10">
        <f>Time!V27</f>
        <v>1</v>
      </c>
      <c r="AA22" s="10">
        <f>Time!W27</f>
        <v>1</v>
      </c>
      <c r="AB22" s="10">
        <f>Time!X27</f>
        <v>1</v>
      </c>
      <c r="AC22" s="10">
        <f>Time!Y27</f>
        <v>1</v>
      </c>
      <c r="AD22" s="10">
        <f>Time!Z27</f>
        <v>1</v>
      </c>
      <c r="AE22" s="10">
        <f>Time!AA27</f>
        <v>1</v>
      </c>
      <c r="AF22" s="10">
        <f>Time!AB27</f>
        <v>1</v>
      </c>
      <c r="AG22" s="10">
        <f>Time!AC27</f>
        <v>1</v>
      </c>
      <c r="AH22" s="10">
        <f>Time!AD27</f>
        <v>1</v>
      </c>
      <c r="AI22" s="10">
        <f>Time!AE27</f>
        <v>1</v>
      </c>
    </row>
    <row r="23" spans="4:35" x14ac:dyDescent="0.3">
      <c r="E23" s="1" t="s">
        <v>105</v>
      </c>
      <c r="G23" t="str">
        <f>G19</f>
        <v>£/year</v>
      </c>
      <c r="H23">
        <f>SUM(J23:AI23)</f>
        <v>7291.8528643614318</v>
      </c>
      <c r="J23" s="12">
        <f>IF(AND(I22=0,J22=1),$F$19*(1-$F$20),(IF(I23&gt;0,I23*(1+$F$21)*(1-$F$20)*J22,0)))</f>
        <v>0</v>
      </c>
      <c r="K23" s="12">
        <f t="shared" ref="K23:AI23" si="0">IF(AND(J22=0,K22=1),$F$19*(1-$F$20),(IF(J23&gt;0,J23*(1+$F$21)*(1-$F$20)*K22,0)))</f>
        <v>200</v>
      </c>
      <c r="L23" s="12">
        <f t="shared" si="0"/>
        <v>206</v>
      </c>
      <c r="M23" s="12">
        <f t="shared" si="0"/>
        <v>212.18</v>
      </c>
      <c r="N23" s="12">
        <f t="shared" si="0"/>
        <v>218.5454</v>
      </c>
      <c r="O23" s="12">
        <f t="shared" si="0"/>
        <v>225.10176200000001</v>
      </c>
      <c r="P23" s="12">
        <f t="shared" si="0"/>
        <v>231.85481486</v>
      </c>
      <c r="Q23" s="12">
        <f t="shared" si="0"/>
        <v>238.81045930580001</v>
      </c>
      <c r="R23" s="12">
        <f t="shared" si="0"/>
        <v>245.974773084974</v>
      </c>
      <c r="S23" s="12">
        <f t="shared" si="0"/>
        <v>253.35401627752324</v>
      </c>
      <c r="T23" s="12">
        <f t="shared" si="0"/>
        <v>260.95463676584893</v>
      </c>
      <c r="U23" s="12">
        <f t="shared" si="0"/>
        <v>268.78327586882443</v>
      </c>
      <c r="V23" s="12">
        <f t="shared" si="0"/>
        <v>276.8467741448892</v>
      </c>
      <c r="W23" s="12">
        <f t="shared" si="0"/>
        <v>285.15217736923586</v>
      </c>
      <c r="X23" s="12">
        <f t="shared" si="0"/>
        <v>293.70674269031292</v>
      </c>
      <c r="Y23" s="12">
        <f t="shared" si="0"/>
        <v>302.5179449710223</v>
      </c>
      <c r="Z23" s="12">
        <f t="shared" si="0"/>
        <v>311.59348332015298</v>
      </c>
      <c r="AA23" s="12">
        <f t="shared" si="0"/>
        <v>320.94128781975758</v>
      </c>
      <c r="AB23" s="12">
        <f t="shared" si="0"/>
        <v>330.5695264543503</v>
      </c>
      <c r="AC23" s="12">
        <f t="shared" si="0"/>
        <v>340.48661224798082</v>
      </c>
      <c r="AD23" s="12">
        <f t="shared" si="0"/>
        <v>350.70121061542022</v>
      </c>
      <c r="AE23" s="12">
        <f t="shared" si="0"/>
        <v>361.22224693388284</v>
      </c>
      <c r="AF23" s="12">
        <f t="shared" si="0"/>
        <v>372.05891434189931</v>
      </c>
      <c r="AG23" s="12">
        <f t="shared" si="0"/>
        <v>383.2206817721563</v>
      </c>
      <c r="AH23" s="12">
        <f t="shared" si="0"/>
        <v>394.71730222532102</v>
      </c>
      <c r="AI23" s="12">
        <f t="shared" si="0"/>
        <v>406.55882129208067</v>
      </c>
    </row>
    <row r="26" spans="4:35" x14ac:dyDescent="0.3">
      <c r="D26" s="1" t="s">
        <v>103</v>
      </c>
    </row>
    <row r="27" spans="4:35" x14ac:dyDescent="0.3">
      <c r="E27" s="10" t="str">
        <f>'Plant Expenditure and Info'!E38</f>
        <v>Number of  growth phases for the microgrid plant</v>
      </c>
      <c r="F27" s="10">
        <f>'Plant Expenditure and Info'!F38</f>
        <v>2</v>
      </c>
    </row>
    <row r="28" spans="4:35" x14ac:dyDescent="0.3">
      <c r="E28" s="10" t="str">
        <f>'Plant Expenditure and Info'!E60</f>
        <v xml:space="preserve">Subsidy% on replacement expenditure </v>
      </c>
      <c r="F28" s="10">
        <f>'Plant Expenditure and Info'!F60</f>
        <v>0.2</v>
      </c>
      <c r="G28" s="10" t="str">
        <f>'Plant Expenditure and Info'!G60</f>
        <v>%</v>
      </c>
    </row>
    <row r="29" spans="4:35" x14ac:dyDescent="0.3">
      <c r="E29" s="10"/>
      <c r="F29" s="10"/>
    </row>
    <row r="30" spans="4:35" x14ac:dyDescent="0.3">
      <c r="E30" s="10" t="str">
        <f>'Plant Expenditure and Info'!E40</f>
        <v>Year of first growth phase</v>
      </c>
      <c r="F30" s="10">
        <f>'Plant Expenditure and Info'!F40</f>
        <v>2029</v>
      </c>
    </row>
    <row r="31" spans="4:35" x14ac:dyDescent="0.3">
      <c r="E31" s="10" t="str">
        <f>'Plant Expenditure and Info'!E45</f>
        <v>First phase total expenditure - excluding batteries</v>
      </c>
      <c r="F31" s="10">
        <f>'Plant Expenditure and Info'!F45</f>
        <v>2000</v>
      </c>
      <c r="G31" s="10" t="str">
        <f>'Plant Expenditure and Info'!G45</f>
        <v>£</v>
      </c>
    </row>
    <row r="32" spans="4:35" x14ac:dyDescent="0.3">
      <c r="E32" s="10" t="str">
        <f>'Plant Expenditure and Info'!E47</f>
        <v>First phase - Projected cost of batteries when first replaced</v>
      </c>
      <c r="F32" s="10">
        <f>'Plant Expenditure and Info'!F47</f>
        <v>1000</v>
      </c>
      <c r="G32" s="10" t="str">
        <f>'Plant Expenditure and Info'!G47</f>
        <v>£</v>
      </c>
    </row>
    <row r="33" spans="5:35" x14ac:dyDescent="0.3">
      <c r="E33" s="10" t="str">
        <f>Time!E45</f>
        <v>Year of first growth phase</v>
      </c>
      <c r="J33" s="10">
        <f>Time!F45</f>
        <v>0</v>
      </c>
      <c r="K33" s="10">
        <f>Time!G45</f>
        <v>0</v>
      </c>
      <c r="L33" s="10">
        <f>Time!H45</f>
        <v>0</v>
      </c>
      <c r="M33" s="10">
        <f>Time!I45</f>
        <v>0</v>
      </c>
      <c r="N33" s="10">
        <f>Time!J45</f>
        <v>0</v>
      </c>
      <c r="O33" s="10">
        <f>Time!K45</f>
        <v>0</v>
      </c>
      <c r="P33" s="10">
        <f>Time!L45</f>
        <v>0</v>
      </c>
      <c r="Q33" s="10">
        <f>Time!M45</f>
        <v>0</v>
      </c>
      <c r="R33" s="10">
        <f>Time!N45</f>
        <v>0</v>
      </c>
      <c r="S33" s="10">
        <f>Time!O45</f>
        <v>1</v>
      </c>
      <c r="T33" s="10">
        <f>Time!P45</f>
        <v>0</v>
      </c>
      <c r="U33" s="10">
        <f>Time!Q45</f>
        <v>0</v>
      </c>
      <c r="V33" s="10">
        <f>Time!R45</f>
        <v>0</v>
      </c>
      <c r="W33" s="10">
        <f>Time!S45</f>
        <v>0</v>
      </c>
      <c r="X33" s="10">
        <f>Time!T45</f>
        <v>0</v>
      </c>
      <c r="Y33" s="10">
        <f>Time!U45</f>
        <v>0</v>
      </c>
      <c r="Z33" s="10">
        <f>Time!V45</f>
        <v>0</v>
      </c>
      <c r="AA33" s="10">
        <f>Time!W45</f>
        <v>0</v>
      </c>
      <c r="AB33" s="10">
        <f>Time!X45</f>
        <v>0</v>
      </c>
      <c r="AC33" s="10">
        <f>Time!Y45</f>
        <v>0</v>
      </c>
      <c r="AD33" s="10">
        <f>Time!Z45</f>
        <v>0</v>
      </c>
      <c r="AE33" s="10">
        <f>Time!AA45</f>
        <v>0</v>
      </c>
      <c r="AF33" s="10">
        <f>Time!AB45</f>
        <v>0</v>
      </c>
      <c r="AG33" s="10">
        <f>Time!AC45</f>
        <v>0</v>
      </c>
      <c r="AH33" s="10">
        <f>Time!AD45</f>
        <v>0</v>
      </c>
      <c r="AI33" s="10">
        <f>Time!AE45</f>
        <v>0</v>
      </c>
    </row>
    <row r="34" spans="5:35" x14ac:dyDescent="0.3">
      <c r="E34" s="12" t="s">
        <v>107</v>
      </c>
      <c r="H34">
        <f>SUM(J34:AI34)</f>
        <v>2400</v>
      </c>
      <c r="J34">
        <f>IF(J33=1,($F$31+$F$32)*(1-$F$28),0)</f>
        <v>0</v>
      </c>
      <c r="K34">
        <f>IF(K33=1,($F$31+$F$32)*(1-$F$28),0)</f>
        <v>0</v>
      </c>
      <c r="L34">
        <f>IF(L33=1,($F$31+$F$32)*(1-$F$28),0)</f>
        <v>0</v>
      </c>
      <c r="M34">
        <f t="shared" ref="M34:AI34" si="1">IF(M33=1,($F$31+$F$32)*(1-$F$28),0)</f>
        <v>0</v>
      </c>
      <c r="N34">
        <f t="shared" si="1"/>
        <v>0</v>
      </c>
      <c r="O34">
        <f t="shared" si="1"/>
        <v>0</v>
      </c>
      <c r="P34">
        <f t="shared" si="1"/>
        <v>0</v>
      </c>
      <c r="Q34">
        <f t="shared" si="1"/>
        <v>0</v>
      </c>
      <c r="R34">
        <f t="shared" si="1"/>
        <v>0</v>
      </c>
      <c r="S34">
        <f>IF(S33=1,($F$31+$F$32)*(1-$F$28),0)</f>
        <v>2400</v>
      </c>
      <c r="T34">
        <f t="shared" si="1"/>
        <v>0</v>
      </c>
      <c r="U34">
        <f t="shared" si="1"/>
        <v>0</v>
      </c>
      <c r="V34">
        <f t="shared" si="1"/>
        <v>0</v>
      </c>
      <c r="W34">
        <f t="shared" si="1"/>
        <v>0</v>
      </c>
      <c r="X34">
        <f t="shared" si="1"/>
        <v>0</v>
      </c>
      <c r="Y34">
        <f t="shared" si="1"/>
        <v>0</v>
      </c>
      <c r="Z34">
        <f t="shared" si="1"/>
        <v>0</v>
      </c>
      <c r="AA34">
        <f t="shared" si="1"/>
        <v>0</v>
      </c>
      <c r="AB34">
        <f t="shared" si="1"/>
        <v>0</v>
      </c>
      <c r="AC34">
        <f t="shared" si="1"/>
        <v>0</v>
      </c>
      <c r="AD34">
        <f t="shared" si="1"/>
        <v>0</v>
      </c>
      <c r="AE34">
        <f t="shared" si="1"/>
        <v>0</v>
      </c>
      <c r="AF34">
        <f t="shared" si="1"/>
        <v>0</v>
      </c>
      <c r="AG34">
        <f t="shared" si="1"/>
        <v>0</v>
      </c>
      <c r="AH34">
        <f t="shared" si="1"/>
        <v>0</v>
      </c>
      <c r="AI34">
        <f t="shared" si="1"/>
        <v>0</v>
      </c>
    </row>
    <row r="36" spans="5:35" x14ac:dyDescent="0.3">
      <c r="E36" s="10" t="str">
        <f>'Plant Expenditure and Info'!E41</f>
        <v>Year of second growth phase</v>
      </c>
      <c r="F36" s="10">
        <f>'Plant Expenditure and Info'!F41</f>
        <v>2038</v>
      </c>
    </row>
    <row r="37" spans="5:35" x14ac:dyDescent="0.3">
      <c r="E37" s="10" t="str">
        <f>'Plant Expenditure and Info'!E51</f>
        <v>Second phase total expenditure - excluding batteries</v>
      </c>
      <c r="F37" s="10">
        <f>'Plant Expenditure and Info'!F51</f>
        <v>1300</v>
      </c>
      <c r="G37" s="10" t="str">
        <f>'Plant Expenditure and Info'!G51</f>
        <v>£</v>
      </c>
    </row>
    <row r="38" spans="5:35" x14ac:dyDescent="0.3">
      <c r="E38" s="10" t="str">
        <f>'Plant Expenditure and Info'!E53</f>
        <v>Second phase - Projected cost of batteries when replaced the second time</v>
      </c>
      <c r="F38" s="10">
        <f>'Plant Expenditure and Info'!F53</f>
        <v>6000</v>
      </c>
      <c r="G38" s="10" t="str">
        <f>'Plant Expenditure and Info'!G53</f>
        <v>£</v>
      </c>
    </row>
    <row r="39" spans="5:35" x14ac:dyDescent="0.3">
      <c r="E39" t="str">
        <f>Time!E47</f>
        <v>Year of second growth phase</v>
      </c>
      <c r="J39" s="10">
        <f>Time!F47</f>
        <v>0</v>
      </c>
      <c r="K39" s="10">
        <f>Time!G47</f>
        <v>0</v>
      </c>
      <c r="L39" s="10">
        <f>Time!H47</f>
        <v>0</v>
      </c>
      <c r="M39" s="10">
        <f>Time!I47</f>
        <v>0</v>
      </c>
      <c r="N39" s="10">
        <f>Time!J47</f>
        <v>0</v>
      </c>
      <c r="O39" s="10">
        <f>Time!K47</f>
        <v>0</v>
      </c>
      <c r="P39" s="10">
        <f>Time!L47</f>
        <v>0</v>
      </c>
      <c r="Q39" s="10">
        <f>Time!M47</f>
        <v>0</v>
      </c>
      <c r="R39" s="10">
        <f>Time!N47</f>
        <v>0</v>
      </c>
      <c r="S39" s="10">
        <f>Time!O47</f>
        <v>0</v>
      </c>
      <c r="T39" s="10">
        <f>Time!P47</f>
        <v>0</v>
      </c>
      <c r="U39" s="10">
        <f>Time!Q47</f>
        <v>0</v>
      </c>
      <c r="V39" s="10">
        <f>Time!R47</f>
        <v>0</v>
      </c>
      <c r="W39" s="10">
        <f>Time!S47</f>
        <v>0</v>
      </c>
      <c r="X39" s="10">
        <f>Time!T47</f>
        <v>0</v>
      </c>
      <c r="Y39" s="10">
        <f>Time!U47</f>
        <v>0</v>
      </c>
      <c r="Z39" s="10">
        <f>Time!V47</f>
        <v>0</v>
      </c>
      <c r="AA39" s="10">
        <f>Time!W47</f>
        <v>0</v>
      </c>
      <c r="AB39" s="10">
        <f>Time!X47</f>
        <v>1</v>
      </c>
      <c r="AC39" s="10">
        <f>Time!Y47</f>
        <v>0</v>
      </c>
      <c r="AD39" s="10">
        <f>Time!Z47</f>
        <v>0</v>
      </c>
      <c r="AE39" s="10">
        <f>Time!AA47</f>
        <v>0</v>
      </c>
      <c r="AF39" s="10">
        <f>Time!AB47</f>
        <v>0</v>
      </c>
      <c r="AG39" s="10">
        <f>Time!AC47</f>
        <v>0</v>
      </c>
      <c r="AH39" s="10">
        <f>Time!AD47</f>
        <v>0</v>
      </c>
      <c r="AI39" s="10">
        <f>Time!AE47</f>
        <v>0</v>
      </c>
    </row>
    <row r="40" spans="5:35" x14ac:dyDescent="0.3">
      <c r="E40" s="12" t="s">
        <v>108</v>
      </c>
      <c r="H40">
        <f>SUM(J40:AI40)</f>
        <v>5840</v>
      </c>
      <c r="J40">
        <f>IF(J39=1,($F$37+$F$38)*(1-$F$28),0)</f>
        <v>0</v>
      </c>
      <c r="K40">
        <f t="shared" ref="K40:AI40" si="2">IF(K39=1,($F$37+$F$38)*(1-$F$28),0)</f>
        <v>0</v>
      </c>
      <c r="L40">
        <f>IF(L39=1,($F$37+$F$38)*(1-$F$28),0)</f>
        <v>0</v>
      </c>
      <c r="M40">
        <f t="shared" si="2"/>
        <v>0</v>
      </c>
      <c r="N40">
        <f t="shared" si="2"/>
        <v>0</v>
      </c>
      <c r="O40">
        <f t="shared" si="2"/>
        <v>0</v>
      </c>
      <c r="P40">
        <f t="shared" si="2"/>
        <v>0</v>
      </c>
      <c r="Q40">
        <f t="shared" si="2"/>
        <v>0</v>
      </c>
      <c r="R40">
        <f t="shared" si="2"/>
        <v>0</v>
      </c>
      <c r="S40">
        <f t="shared" si="2"/>
        <v>0</v>
      </c>
      <c r="T40">
        <f t="shared" si="2"/>
        <v>0</v>
      </c>
      <c r="U40">
        <f t="shared" si="2"/>
        <v>0</v>
      </c>
      <c r="V40">
        <f t="shared" si="2"/>
        <v>0</v>
      </c>
      <c r="W40">
        <f t="shared" si="2"/>
        <v>0</v>
      </c>
      <c r="X40">
        <f t="shared" si="2"/>
        <v>0</v>
      </c>
      <c r="Y40">
        <f t="shared" si="2"/>
        <v>0</v>
      </c>
      <c r="Z40">
        <f t="shared" si="2"/>
        <v>0</v>
      </c>
      <c r="AA40">
        <f t="shared" si="2"/>
        <v>0</v>
      </c>
      <c r="AB40">
        <f t="shared" si="2"/>
        <v>5840</v>
      </c>
      <c r="AC40">
        <f t="shared" si="2"/>
        <v>0</v>
      </c>
      <c r="AD40">
        <f t="shared" si="2"/>
        <v>0</v>
      </c>
      <c r="AE40">
        <f t="shared" si="2"/>
        <v>0</v>
      </c>
      <c r="AF40">
        <f t="shared" si="2"/>
        <v>0</v>
      </c>
      <c r="AG40">
        <f t="shared" si="2"/>
        <v>0</v>
      </c>
      <c r="AH40">
        <f t="shared" si="2"/>
        <v>0</v>
      </c>
      <c r="AI40">
        <f t="shared" si="2"/>
        <v>0</v>
      </c>
    </row>
    <row r="44" spans="5:35" x14ac:dyDescent="0.3">
      <c r="E44" s="1" t="s">
        <v>109</v>
      </c>
      <c r="G44" t="str">
        <f>G23</f>
        <v>£/year</v>
      </c>
      <c r="H44">
        <f>SUM(J44:AI44)</f>
        <v>8240</v>
      </c>
      <c r="J44">
        <f t="shared" ref="J44:AI44" si="3">J34+J40</f>
        <v>0</v>
      </c>
      <c r="K44">
        <f t="shared" si="3"/>
        <v>0</v>
      </c>
      <c r="L44">
        <f t="shared" si="3"/>
        <v>0</v>
      </c>
      <c r="M44">
        <f t="shared" si="3"/>
        <v>0</v>
      </c>
      <c r="N44">
        <f t="shared" si="3"/>
        <v>0</v>
      </c>
      <c r="O44">
        <f t="shared" si="3"/>
        <v>0</v>
      </c>
      <c r="P44">
        <f t="shared" si="3"/>
        <v>0</v>
      </c>
      <c r="Q44">
        <f t="shared" si="3"/>
        <v>0</v>
      </c>
      <c r="R44">
        <f t="shared" si="3"/>
        <v>0</v>
      </c>
      <c r="S44">
        <f t="shared" si="3"/>
        <v>2400</v>
      </c>
      <c r="T44">
        <f t="shared" si="3"/>
        <v>0</v>
      </c>
      <c r="U44">
        <f t="shared" si="3"/>
        <v>0</v>
      </c>
      <c r="V44">
        <f t="shared" si="3"/>
        <v>0</v>
      </c>
      <c r="W44">
        <f t="shared" si="3"/>
        <v>0</v>
      </c>
      <c r="X44">
        <f t="shared" si="3"/>
        <v>0</v>
      </c>
      <c r="Y44">
        <f t="shared" si="3"/>
        <v>0</v>
      </c>
      <c r="Z44">
        <f t="shared" si="3"/>
        <v>0</v>
      </c>
      <c r="AA44">
        <f t="shared" si="3"/>
        <v>0</v>
      </c>
      <c r="AB44">
        <f t="shared" si="3"/>
        <v>5840</v>
      </c>
      <c r="AC44">
        <f t="shared" si="3"/>
        <v>0</v>
      </c>
      <c r="AD44">
        <f t="shared" si="3"/>
        <v>0</v>
      </c>
      <c r="AE44">
        <f t="shared" si="3"/>
        <v>0</v>
      </c>
      <c r="AF44">
        <f t="shared" si="3"/>
        <v>0</v>
      </c>
      <c r="AG44">
        <f t="shared" si="3"/>
        <v>0</v>
      </c>
      <c r="AH44">
        <f t="shared" si="3"/>
        <v>0</v>
      </c>
      <c r="AI44">
        <f t="shared" si="3"/>
        <v>0</v>
      </c>
    </row>
    <row r="47" spans="5:35" x14ac:dyDescent="0.3">
      <c r="E47" s="1" t="s">
        <v>110</v>
      </c>
      <c r="G47" t="str">
        <f>G44</f>
        <v>£/year</v>
      </c>
      <c r="H47">
        <f>SUM(J47:AI47)</f>
        <v>20291.852864361437</v>
      </c>
      <c r="J47">
        <f t="shared" ref="J47:AI47" si="4">J44+J23+J15</f>
        <v>4760</v>
      </c>
      <c r="K47">
        <f t="shared" si="4"/>
        <v>200</v>
      </c>
      <c r="L47">
        <f t="shared" si="4"/>
        <v>206</v>
      </c>
      <c r="M47">
        <f t="shared" si="4"/>
        <v>212.18</v>
      </c>
      <c r="N47">
        <f t="shared" si="4"/>
        <v>218.5454</v>
      </c>
      <c r="O47">
        <f t="shared" si="4"/>
        <v>225.10176200000001</v>
      </c>
      <c r="P47">
        <f t="shared" si="4"/>
        <v>231.85481486</v>
      </c>
      <c r="Q47">
        <f t="shared" si="4"/>
        <v>238.81045930580001</v>
      </c>
      <c r="R47">
        <f t="shared" si="4"/>
        <v>245.974773084974</v>
      </c>
      <c r="S47">
        <f t="shared" si="4"/>
        <v>2653.3540162775234</v>
      </c>
      <c r="T47">
        <f t="shared" si="4"/>
        <v>260.95463676584893</v>
      </c>
      <c r="U47">
        <f t="shared" si="4"/>
        <v>268.78327586882443</v>
      </c>
      <c r="V47">
        <f t="shared" si="4"/>
        <v>276.8467741448892</v>
      </c>
      <c r="W47">
        <f t="shared" si="4"/>
        <v>285.15217736923586</v>
      </c>
      <c r="X47">
        <f t="shared" si="4"/>
        <v>293.70674269031292</v>
      </c>
      <c r="Y47">
        <f t="shared" si="4"/>
        <v>302.5179449710223</v>
      </c>
      <c r="Z47">
        <f t="shared" si="4"/>
        <v>311.59348332015298</v>
      </c>
      <c r="AA47">
        <f t="shared" si="4"/>
        <v>320.94128781975758</v>
      </c>
      <c r="AB47">
        <f t="shared" si="4"/>
        <v>6170.5695264543501</v>
      </c>
      <c r="AC47">
        <f t="shared" si="4"/>
        <v>340.48661224798082</v>
      </c>
      <c r="AD47">
        <f t="shared" si="4"/>
        <v>350.70121061542022</v>
      </c>
      <c r="AE47">
        <f t="shared" si="4"/>
        <v>361.22224693388284</v>
      </c>
      <c r="AF47">
        <f t="shared" si="4"/>
        <v>372.05891434189931</v>
      </c>
      <c r="AG47">
        <f t="shared" si="4"/>
        <v>383.2206817721563</v>
      </c>
      <c r="AH47">
        <f t="shared" si="4"/>
        <v>394.71730222532102</v>
      </c>
      <c r="AI47">
        <f t="shared" si="4"/>
        <v>406.55882129208067</v>
      </c>
    </row>
    <row r="50" spans="2:35" x14ac:dyDescent="0.3">
      <c r="B50" s="1" t="s">
        <v>121</v>
      </c>
    </row>
    <row r="51" spans="2:35" x14ac:dyDescent="0.3">
      <c r="D51" s="1" t="str">
        <f>'Revenue &amp; Electricity Consump'!D59</f>
        <v>Percentage rise in revenue pricing (%rise)</v>
      </c>
    </row>
    <row r="52" spans="2:35" x14ac:dyDescent="0.3">
      <c r="E52">
        <f>'Revenue &amp; Electricity Consump'!E60</f>
        <v>2025</v>
      </c>
      <c r="F52" s="16">
        <f>'Revenue &amp; Electricity Consump'!F60</f>
        <v>0.01</v>
      </c>
      <c r="G52" s="10" t="str">
        <f>'Revenue &amp; Electricity Consump'!G60</f>
        <v>%</v>
      </c>
    </row>
    <row r="53" spans="2:35" x14ac:dyDescent="0.3">
      <c r="E53">
        <f>'Revenue &amp; Electricity Consump'!E61</f>
        <v>2030</v>
      </c>
      <c r="F53" s="16">
        <f>'Revenue &amp; Electricity Consump'!F61</f>
        <v>1.4999999999999999E-2</v>
      </c>
      <c r="G53" s="10" t="str">
        <f>'Revenue &amp; Electricity Consump'!G61</f>
        <v>%</v>
      </c>
    </row>
    <row r="54" spans="2:35" x14ac:dyDescent="0.3">
      <c r="E54">
        <f>'Revenue &amp; Electricity Consump'!E62</f>
        <v>2035</v>
      </c>
      <c r="F54" s="16">
        <f>'Revenue &amp; Electricity Consump'!F62</f>
        <v>1.4999999999999999E-2</v>
      </c>
      <c r="G54" s="10" t="str">
        <f>'Revenue &amp; Electricity Consump'!G62</f>
        <v>%</v>
      </c>
    </row>
    <row r="55" spans="2:35" x14ac:dyDescent="0.3">
      <c r="E55">
        <f>'Revenue &amp; Electricity Consump'!E63</f>
        <v>2040</v>
      </c>
      <c r="F55" s="16">
        <f>'Revenue &amp; Electricity Consump'!F63</f>
        <v>1.4999999999999999E-2</v>
      </c>
      <c r="G55" s="10" t="str">
        <f>'Revenue &amp; Electricity Consump'!G63</f>
        <v>%</v>
      </c>
    </row>
    <row r="56" spans="2:35" x14ac:dyDescent="0.3">
      <c r="E56">
        <f>'Revenue &amp; Electricity Consump'!E64</f>
        <v>2045</v>
      </c>
      <c r="F56" s="16">
        <f>'Revenue &amp; Electricity Consump'!F64</f>
        <v>1.4999999999999999E-2</v>
      </c>
      <c r="G56" s="10" t="str">
        <f>'Revenue &amp; Electricity Consump'!G64</f>
        <v>%</v>
      </c>
    </row>
    <row r="59" spans="2:35" x14ac:dyDescent="0.3">
      <c r="E59" s="10" t="str">
        <f>Time!E31</f>
        <v>Year with no price rise</v>
      </c>
      <c r="F59" s="10"/>
      <c r="G59" s="10"/>
      <c r="H59" s="10"/>
      <c r="I59" s="10"/>
      <c r="J59" s="10">
        <f>Time!F31</f>
        <v>0</v>
      </c>
      <c r="K59" s="10">
        <f>Time!G31</f>
        <v>1</v>
      </c>
      <c r="L59" s="10">
        <f>Time!H31</f>
        <v>1</v>
      </c>
      <c r="M59" s="10">
        <f>Time!I31</f>
        <v>1</v>
      </c>
      <c r="N59" s="10">
        <f>Time!J31</f>
        <v>1</v>
      </c>
      <c r="O59" s="10">
        <f>Time!K31</f>
        <v>1</v>
      </c>
      <c r="P59" s="10">
        <f>Time!L31</f>
        <v>0</v>
      </c>
      <c r="Q59" s="10">
        <f>Time!M31</f>
        <v>0</v>
      </c>
      <c r="R59" s="10">
        <f>Time!N31</f>
        <v>0</v>
      </c>
      <c r="S59" s="10">
        <f>Time!O31</f>
        <v>0</v>
      </c>
      <c r="T59" s="10">
        <f>Time!P31</f>
        <v>0</v>
      </c>
      <c r="U59" s="10">
        <f>Time!Q31</f>
        <v>0</v>
      </c>
      <c r="V59" s="10">
        <f>Time!R31</f>
        <v>0</v>
      </c>
      <c r="W59" s="10">
        <f>Time!S31</f>
        <v>0</v>
      </c>
      <c r="X59" s="10">
        <f>Time!T31</f>
        <v>0</v>
      </c>
      <c r="Y59" s="10">
        <f>Time!U31</f>
        <v>0</v>
      </c>
      <c r="Z59" s="10">
        <f>Time!V31</f>
        <v>0</v>
      </c>
      <c r="AA59" s="10">
        <f>Time!W31</f>
        <v>0</v>
      </c>
      <c r="AB59" s="10">
        <f>Time!X31</f>
        <v>0</v>
      </c>
      <c r="AC59" s="10">
        <f>Time!Y31</f>
        <v>0</v>
      </c>
      <c r="AD59" s="10">
        <f>Time!Z31</f>
        <v>0</v>
      </c>
      <c r="AE59" s="10">
        <f>Time!AA31</f>
        <v>0</v>
      </c>
      <c r="AF59" s="10">
        <f>Time!AB31</f>
        <v>0</v>
      </c>
      <c r="AG59" s="10">
        <f>Time!AC31</f>
        <v>0</v>
      </c>
      <c r="AH59" s="10">
        <f>Time!AD31</f>
        <v>0</v>
      </c>
      <c r="AI59" s="10">
        <f>Time!AE31</f>
        <v>0</v>
      </c>
    </row>
    <row r="60" spans="2:35" x14ac:dyDescent="0.3">
      <c r="E60" s="10" t="str">
        <f>Time!E33</f>
        <v>Years with first price rise</v>
      </c>
      <c r="F60" s="10"/>
      <c r="G60" s="10"/>
      <c r="H60" s="10"/>
      <c r="I60" s="10"/>
      <c r="J60" s="10">
        <f>Time!F33</f>
        <v>0</v>
      </c>
      <c r="K60" s="10">
        <f>Time!G33</f>
        <v>0</v>
      </c>
      <c r="L60" s="10">
        <f>Time!H33</f>
        <v>0</v>
      </c>
      <c r="M60" s="10">
        <f>Time!I33</f>
        <v>0</v>
      </c>
      <c r="N60" s="10">
        <f>Time!J33</f>
        <v>0</v>
      </c>
      <c r="O60" s="10">
        <f>Time!K33</f>
        <v>0</v>
      </c>
      <c r="P60" s="10">
        <f>Time!L33</f>
        <v>1</v>
      </c>
      <c r="Q60" s="10">
        <f>Time!M33</f>
        <v>1</v>
      </c>
      <c r="R60" s="10">
        <f>Time!N33</f>
        <v>1</v>
      </c>
      <c r="S60" s="10">
        <f>Time!O33</f>
        <v>1</v>
      </c>
      <c r="T60" s="10">
        <f>Time!P33</f>
        <v>1</v>
      </c>
      <c r="U60" s="10">
        <f>Time!Q33</f>
        <v>0</v>
      </c>
      <c r="V60" s="10">
        <f>Time!R33</f>
        <v>0</v>
      </c>
      <c r="W60" s="10">
        <f>Time!S33</f>
        <v>0</v>
      </c>
      <c r="X60" s="10">
        <f>Time!T33</f>
        <v>0</v>
      </c>
      <c r="Y60" s="10">
        <f>Time!U33</f>
        <v>0</v>
      </c>
      <c r="Z60" s="10">
        <f>Time!V33</f>
        <v>0</v>
      </c>
      <c r="AA60" s="10">
        <f>Time!W33</f>
        <v>0</v>
      </c>
      <c r="AB60" s="10">
        <f>Time!X33</f>
        <v>0</v>
      </c>
      <c r="AC60" s="10">
        <f>Time!Y33</f>
        <v>0</v>
      </c>
      <c r="AD60" s="10">
        <f>Time!Z33</f>
        <v>0</v>
      </c>
      <c r="AE60" s="10">
        <f>Time!AA33</f>
        <v>0</v>
      </c>
      <c r="AF60" s="10">
        <f>Time!AB33</f>
        <v>0</v>
      </c>
      <c r="AG60" s="10">
        <f>Time!AC33</f>
        <v>0</v>
      </c>
      <c r="AH60" s="10">
        <f>Time!AD33</f>
        <v>0</v>
      </c>
      <c r="AI60" s="10">
        <f>Time!AE33</f>
        <v>0</v>
      </c>
    </row>
    <row r="61" spans="2:35" x14ac:dyDescent="0.3">
      <c r="E61" s="10" t="str">
        <f>Time!E35</f>
        <v>Years with second price rise</v>
      </c>
      <c r="F61" s="10"/>
      <c r="G61" s="10"/>
      <c r="H61" s="10"/>
      <c r="I61" s="10"/>
      <c r="J61" s="10">
        <f>Time!F35</f>
        <v>0</v>
      </c>
      <c r="K61" s="10">
        <f>Time!G35</f>
        <v>0</v>
      </c>
      <c r="L61" s="10">
        <f>Time!H35</f>
        <v>0</v>
      </c>
      <c r="M61" s="10">
        <f>Time!I35</f>
        <v>0</v>
      </c>
      <c r="N61" s="10">
        <f>Time!J35</f>
        <v>0</v>
      </c>
      <c r="O61" s="10">
        <f>Time!K35</f>
        <v>0</v>
      </c>
      <c r="P61" s="10">
        <f>Time!L35</f>
        <v>0</v>
      </c>
      <c r="Q61" s="10">
        <f>Time!M35</f>
        <v>0</v>
      </c>
      <c r="R61" s="10">
        <f>Time!N35</f>
        <v>0</v>
      </c>
      <c r="S61" s="10">
        <f>Time!O35</f>
        <v>0</v>
      </c>
      <c r="T61" s="10">
        <f>Time!P35</f>
        <v>0</v>
      </c>
      <c r="U61" s="10">
        <f>Time!Q35</f>
        <v>1</v>
      </c>
      <c r="V61" s="10">
        <f>Time!R35</f>
        <v>1</v>
      </c>
      <c r="W61" s="10">
        <f>Time!S35</f>
        <v>1</v>
      </c>
      <c r="X61" s="10">
        <f>Time!T35</f>
        <v>1</v>
      </c>
      <c r="Y61" s="10">
        <f>Time!U35</f>
        <v>1</v>
      </c>
      <c r="Z61" s="10">
        <f>Time!V35</f>
        <v>0</v>
      </c>
      <c r="AA61" s="10">
        <f>Time!W35</f>
        <v>0</v>
      </c>
      <c r="AB61" s="10">
        <f>Time!X35</f>
        <v>0</v>
      </c>
      <c r="AC61" s="10">
        <f>Time!Y35</f>
        <v>0</v>
      </c>
      <c r="AD61" s="10">
        <f>Time!Z35</f>
        <v>0</v>
      </c>
      <c r="AE61" s="10">
        <f>Time!AA35</f>
        <v>0</v>
      </c>
      <c r="AF61" s="10">
        <f>Time!AB35</f>
        <v>0</v>
      </c>
      <c r="AG61" s="10">
        <f>Time!AC35</f>
        <v>0</v>
      </c>
      <c r="AH61" s="10">
        <f>Time!AD35</f>
        <v>0</v>
      </c>
      <c r="AI61" s="10">
        <f>Time!AE35</f>
        <v>0</v>
      </c>
    </row>
    <row r="62" spans="2:35" x14ac:dyDescent="0.3">
      <c r="E62" s="10" t="str">
        <f>Time!E37</f>
        <v>Years with third price rise</v>
      </c>
      <c r="F62" s="10"/>
      <c r="G62" s="10"/>
      <c r="H62" s="10"/>
      <c r="I62" s="10"/>
      <c r="J62" s="10">
        <f>Time!F37</f>
        <v>0</v>
      </c>
      <c r="K62" s="10">
        <f>Time!G37</f>
        <v>0</v>
      </c>
      <c r="L62" s="10">
        <f>Time!H37</f>
        <v>0</v>
      </c>
      <c r="M62" s="10">
        <f>Time!I37</f>
        <v>0</v>
      </c>
      <c r="N62" s="10">
        <f>Time!J37</f>
        <v>0</v>
      </c>
      <c r="O62" s="10">
        <f>Time!K37</f>
        <v>0</v>
      </c>
      <c r="P62" s="10">
        <f>Time!L37</f>
        <v>0</v>
      </c>
      <c r="Q62" s="10">
        <f>Time!M37</f>
        <v>0</v>
      </c>
      <c r="R62" s="10">
        <f>Time!N37</f>
        <v>0</v>
      </c>
      <c r="S62" s="10">
        <f>Time!O37</f>
        <v>0</v>
      </c>
      <c r="T62" s="10">
        <f>Time!P37</f>
        <v>0</v>
      </c>
      <c r="U62" s="10">
        <f>Time!Q37</f>
        <v>0</v>
      </c>
      <c r="V62" s="10">
        <f>Time!R37</f>
        <v>0</v>
      </c>
      <c r="W62" s="10">
        <f>Time!S37</f>
        <v>0</v>
      </c>
      <c r="X62" s="10">
        <f>Time!T37</f>
        <v>0</v>
      </c>
      <c r="Y62" s="10">
        <f>Time!U37</f>
        <v>0</v>
      </c>
      <c r="Z62" s="10">
        <f>Time!V37</f>
        <v>1</v>
      </c>
      <c r="AA62" s="10">
        <f>Time!W37</f>
        <v>1</v>
      </c>
      <c r="AB62" s="10">
        <f>Time!X37</f>
        <v>1</v>
      </c>
      <c r="AC62" s="10">
        <f>Time!Y37</f>
        <v>1</v>
      </c>
      <c r="AD62" s="10">
        <f>Time!Z37</f>
        <v>1</v>
      </c>
      <c r="AE62" s="10">
        <f>Time!AA37</f>
        <v>0</v>
      </c>
      <c r="AF62" s="10">
        <f>Time!AB37</f>
        <v>0</v>
      </c>
      <c r="AG62" s="10">
        <f>Time!AC37</f>
        <v>0</v>
      </c>
      <c r="AH62" s="10">
        <f>Time!AD37</f>
        <v>0</v>
      </c>
      <c r="AI62" s="10">
        <f>Time!AE37</f>
        <v>0</v>
      </c>
    </row>
    <row r="63" spans="2:35" x14ac:dyDescent="0.3">
      <c r="E63" s="10" t="str">
        <f>Time!E39</f>
        <v>Years with fourth price rise</v>
      </c>
      <c r="F63" s="10"/>
      <c r="G63" s="10"/>
      <c r="H63" s="10"/>
      <c r="I63" s="10"/>
      <c r="J63" s="10">
        <f>Time!F39</f>
        <v>0</v>
      </c>
      <c r="K63" s="10">
        <f>Time!G39</f>
        <v>0</v>
      </c>
      <c r="L63" s="10">
        <f>Time!H39</f>
        <v>0</v>
      </c>
      <c r="M63" s="10">
        <f>Time!I39</f>
        <v>0</v>
      </c>
      <c r="N63" s="10">
        <f>Time!J39</f>
        <v>0</v>
      </c>
      <c r="O63" s="10">
        <f>Time!K39</f>
        <v>0</v>
      </c>
      <c r="P63" s="10">
        <f>Time!L39</f>
        <v>0</v>
      </c>
      <c r="Q63" s="10">
        <f>Time!M39</f>
        <v>0</v>
      </c>
      <c r="R63" s="10">
        <f>Time!N39</f>
        <v>0</v>
      </c>
      <c r="S63" s="10">
        <f>Time!O39</f>
        <v>0</v>
      </c>
      <c r="T63" s="10">
        <f>Time!P39</f>
        <v>0</v>
      </c>
      <c r="U63" s="10">
        <f>Time!Q39</f>
        <v>0</v>
      </c>
      <c r="V63" s="10">
        <f>Time!R39</f>
        <v>0</v>
      </c>
      <c r="W63" s="10">
        <f>Time!S39</f>
        <v>0</v>
      </c>
      <c r="X63" s="10">
        <f>Time!T39</f>
        <v>0</v>
      </c>
      <c r="Y63" s="10">
        <f>Time!U39</f>
        <v>0</v>
      </c>
      <c r="Z63" s="10">
        <f>Time!V39</f>
        <v>0</v>
      </c>
      <c r="AA63" s="10">
        <f>Time!W39</f>
        <v>0</v>
      </c>
      <c r="AB63" s="10">
        <f>Time!X39</f>
        <v>0</v>
      </c>
      <c r="AC63" s="10">
        <f>Time!Y39</f>
        <v>0</v>
      </c>
      <c r="AD63" s="10">
        <f>Time!Z39</f>
        <v>0</v>
      </c>
      <c r="AE63" s="10">
        <f>Time!AA39</f>
        <v>1</v>
      </c>
      <c r="AF63" s="10">
        <f>Time!AB39</f>
        <v>1</v>
      </c>
      <c r="AG63" s="10">
        <f>Time!AC39</f>
        <v>1</v>
      </c>
      <c r="AH63" s="10">
        <f>Time!AD39</f>
        <v>1</v>
      </c>
      <c r="AI63" s="10">
        <f>Time!AE39</f>
        <v>1</v>
      </c>
    </row>
    <row r="64" spans="2:35" x14ac:dyDescent="0.3">
      <c r="E64" s="10" t="str">
        <f>Time!E41</f>
        <v>Years with fifth price rise</v>
      </c>
      <c r="F64" s="10"/>
      <c r="G64" s="10"/>
      <c r="H64" s="10"/>
      <c r="I64" s="10"/>
      <c r="J64" s="10">
        <f>Time!F41</f>
        <v>0</v>
      </c>
      <c r="K64" s="10">
        <f>Time!G41</f>
        <v>0</v>
      </c>
      <c r="L64" s="10">
        <f>Time!H41</f>
        <v>0</v>
      </c>
      <c r="M64" s="10">
        <f>Time!I41</f>
        <v>0</v>
      </c>
      <c r="N64" s="10">
        <f>Time!J41</f>
        <v>0</v>
      </c>
      <c r="O64" s="10">
        <f>Time!K41</f>
        <v>0</v>
      </c>
      <c r="P64" s="10">
        <f>Time!L41</f>
        <v>0</v>
      </c>
      <c r="Q64" s="10">
        <f>Time!M41</f>
        <v>0</v>
      </c>
      <c r="R64" s="10">
        <f>Time!N41</f>
        <v>0</v>
      </c>
      <c r="S64" s="10">
        <f>Time!O41</f>
        <v>0</v>
      </c>
      <c r="T64" s="10">
        <f>Time!P41</f>
        <v>0</v>
      </c>
      <c r="U64" s="10">
        <f>Time!Q41</f>
        <v>0</v>
      </c>
      <c r="V64" s="10">
        <f>Time!R41</f>
        <v>0</v>
      </c>
      <c r="W64" s="10">
        <f>Time!S41</f>
        <v>0</v>
      </c>
      <c r="X64" s="10">
        <f>Time!T41</f>
        <v>0</v>
      </c>
      <c r="Y64" s="10">
        <f>Time!U41</f>
        <v>0</v>
      </c>
      <c r="Z64" s="10">
        <f>Time!V41</f>
        <v>0</v>
      </c>
      <c r="AA64" s="10">
        <f>Time!W41</f>
        <v>0</v>
      </c>
      <c r="AB64" s="10">
        <f>Time!X41</f>
        <v>0</v>
      </c>
      <c r="AC64" s="10">
        <f>Time!Y41</f>
        <v>0</v>
      </c>
      <c r="AD64" s="10">
        <f>Time!Z41</f>
        <v>0</v>
      </c>
      <c r="AE64" s="10">
        <f>Time!AA41</f>
        <v>0</v>
      </c>
      <c r="AF64" s="10">
        <f>Time!AB41</f>
        <v>0</v>
      </c>
      <c r="AG64" s="10">
        <f>Time!AC41</f>
        <v>0</v>
      </c>
      <c r="AH64" s="10">
        <f>Time!AD41</f>
        <v>0</v>
      </c>
      <c r="AI64" s="10">
        <f>Time!AE41</f>
        <v>0</v>
      </c>
    </row>
    <row r="67" spans="4:7" x14ac:dyDescent="0.3">
      <c r="D67" s="1" t="s">
        <v>122</v>
      </c>
    </row>
    <row r="69" spans="4:7" x14ac:dyDescent="0.3">
      <c r="E69" s="10" t="str">
        <f>'Revenue &amp; Electricity Consump'!E39</f>
        <v>Option 1 - Fixed cost per residential rate</v>
      </c>
      <c r="F69" s="10">
        <f>'Revenue &amp; Electricity Consump'!F39</f>
        <v>5</v>
      </c>
      <c r="G69" s="10" t="str">
        <f>'Revenue &amp; Electricity Consump'!G39</f>
        <v>£/dwelling/month</v>
      </c>
    </row>
    <row r="70" spans="4:7" x14ac:dyDescent="0.3">
      <c r="E70" s="10" t="str">
        <f>'Revenue &amp; Electricity Consump'!E40</f>
        <v>Option 1 - Fixed cost per commercial dwelling rate</v>
      </c>
      <c r="F70" s="10">
        <f>'Revenue &amp; Electricity Consump'!F40</f>
        <v>5</v>
      </c>
      <c r="G70" s="10" t="str">
        <f>'Revenue &amp; Electricity Consump'!G40</f>
        <v>£/dwelling/month</v>
      </c>
    </row>
    <row r="71" spans="4:7" x14ac:dyDescent="0.3">
      <c r="E71" s="10" t="str">
        <f>General!E43</f>
        <v>Number of months in a year</v>
      </c>
      <c r="F71" s="10">
        <f>General!F43</f>
        <v>12</v>
      </c>
      <c r="G71" s="10" t="str">
        <f>General!G43</f>
        <v>months</v>
      </c>
    </row>
    <row r="72" spans="4:7" x14ac:dyDescent="0.3">
      <c r="E72" s="10" t="str">
        <f>General!E18</f>
        <v>Number of homes in the village</v>
      </c>
      <c r="F72" s="10">
        <f>General!F18</f>
        <v>45</v>
      </c>
      <c r="G72" s="10"/>
    </row>
    <row r="73" spans="4:7" x14ac:dyDescent="0.3">
      <c r="E73" s="10" t="str">
        <f>General!E19</f>
        <v>Number of homes to be connected to the microgrid</v>
      </c>
      <c r="F73" s="10">
        <f>General!F19</f>
        <v>30</v>
      </c>
      <c r="G73" s="10"/>
    </row>
    <row r="74" spans="4:7" x14ac:dyDescent="0.3">
      <c r="E74" t="s">
        <v>194</v>
      </c>
      <c r="F74" s="32">
        <f>F73/F72</f>
        <v>0.66666666666666663</v>
      </c>
      <c r="G74" s="12" t="s">
        <v>38</v>
      </c>
    </row>
    <row r="76" spans="4:7" x14ac:dyDescent="0.3">
      <c r="E76" s="10" t="str">
        <f>General!E21</f>
        <v>Number of commercial</v>
      </c>
      <c r="F76" s="10">
        <f>General!F21</f>
        <v>15</v>
      </c>
      <c r="G76" s="10"/>
    </row>
    <row r="77" spans="4:7" x14ac:dyDescent="0.3">
      <c r="E77" s="10" t="str">
        <f>General!E22</f>
        <v>Number of commercial properties to be connected by the microgrid</v>
      </c>
      <c r="F77" s="10">
        <f>General!F22</f>
        <v>12</v>
      </c>
      <c r="G77" s="10"/>
    </row>
    <row r="78" spans="4:7" x14ac:dyDescent="0.3">
      <c r="E78" t="s">
        <v>195</v>
      </c>
      <c r="F78" s="33">
        <f>F77/F76</f>
        <v>0.8</v>
      </c>
      <c r="G78" s="12" t="s">
        <v>38</v>
      </c>
    </row>
    <row r="79" spans="4:7" x14ac:dyDescent="0.3">
      <c r="E79" s="10"/>
      <c r="F79" s="10"/>
      <c r="G79" s="10"/>
    </row>
    <row r="80" spans="4:7" x14ac:dyDescent="0.3">
      <c r="E80" s="12" t="s">
        <v>253</v>
      </c>
      <c r="F80" s="4">
        <f xml:space="preserve"> ($F$69*$F$73*$F$71)</f>
        <v>1800</v>
      </c>
      <c r="G80" s="12" t="str">
        <f>$F$3&amp;"/year"</f>
        <v>£/year</v>
      </c>
    </row>
    <row r="81" spans="5:35" x14ac:dyDescent="0.3">
      <c r="E81" s="12" t="s">
        <v>254</v>
      </c>
      <c r="F81" s="4">
        <f xml:space="preserve"> ($F$70*$F$77*$F$71)</f>
        <v>720</v>
      </c>
      <c r="G81" s="12" t="str">
        <f t="shared" ref="G81:G87" si="5">$F$3&amp;"/year"</f>
        <v>£/year</v>
      </c>
    </row>
    <row r="82" spans="5:35" x14ac:dyDescent="0.3">
      <c r="E82" s="12" t="s">
        <v>126</v>
      </c>
      <c r="F82" s="23">
        <f>F80+F81</f>
        <v>2520</v>
      </c>
      <c r="G82" s="12" t="str">
        <f>$F$3&amp;"/year"</f>
        <v>£/year</v>
      </c>
    </row>
    <row r="83" spans="5:35" x14ac:dyDescent="0.3">
      <c r="E83" s="12" t="s">
        <v>127</v>
      </c>
      <c r="F83" s="23">
        <f>F82*(1+F52)</f>
        <v>2545.1999999999998</v>
      </c>
      <c r="G83" s="12" t="str">
        <f t="shared" si="5"/>
        <v>£/year</v>
      </c>
    </row>
    <row r="84" spans="5:35" x14ac:dyDescent="0.3">
      <c r="E84" s="12" t="s">
        <v>128</v>
      </c>
      <c r="F84" s="23">
        <f>F83*(1+F53)</f>
        <v>2583.3779999999997</v>
      </c>
      <c r="G84" s="12" t="str">
        <f t="shared" si="5"/>
        <v>£/year</v>
      </c>
    </row>
    <row r="85" spans="5:35" x14ac:dyDescent="0.3">
      <c r="E85" s="12" t="s">
        <v>129</v>
      </c>
      <c r="F85" s="23">
        <f>F84*(1+F54)</f>
        <v>2622.1286699999996</v>
      </c>
      <c r="G85" s="12" t="str">
        <f t="shared" si="5"/>
        <v>£/year</v>
      </c>
    </row>
    <row r="86" spans="5:35" x14ac:dyDescent="0.3">
      <c r="E86" s="12" t="s">
        <v>130</v>
      </c>
      <c r="F86" s="23">
        <f>F85*(1+F55)</f>
        <v>2661.4606000499994</v>
      </c>
      <c r="G86" s="12" t="str">
        <f t="shared" si="5"/>
        <v>£/year</v>
      </c>
    </row>
    <row r="87" spans="5:35" x14ac:dyDescent="0.3">
      <c r="E87" s="12" t="s">
        <v>131</v>
      </c>
      <c r="F87" s="23">
        <f>F86*(1+F56)</f>
        <v>2701.3825090507489</v>
      </c>
      <c r="G87" s="12" t="str">
        <f t="shared" si="5"/>
        <v>£/year</v>
      </c>
    </row>
    <row r="88" spans="5:35" x14ac:dyDescent="0.3">
      <c r="E88" s="10"/>
      <c r="F88" s="10"/>
      <c r="G88" s="10"/>
    </row>
    <row r="89" spans="5:35" x14ac:dyDescent="0.3">
      <c r="E89" s="12" t="s">
        <v>126</v>
      </c>
      <c r="F89" s="10"/>
      <c r="G89" s="12" t="str">
        <f t="shared" ref="G89:G94" si="6">$F$3&amp;"/year"</f>
        <v>£/year</v>
      </c>
      <c r="J89" s="24">
        <f>IF(J59=0,0,$F$82)</f>
        <v>0</v>
      </c>
      <c r="K89" s="24">
        <f t="shared" ref="K89:AI89" si="7">IF(K59=0,0,$F$82)</f>
        <v>2520</v>
      </c>
      <c r="L89" s="24">
        <f t="shared" si="7"/>
        <v>2520</v>
      </c>
      <c r="M89" s="24">
        <f t="shared" si="7"/>
        <v>2520</v>
      </c>
      <c r="N89" s="24">
        <f t="shared" si="7"/>
        <v>2520</v>
      </c>
      <c r="O89" s="24">
        <f t="shared" si="7"/>
        <v>2520</v>
      </c>
      <c r="P89" s="24">
        <f t="shared" si="7"/>
        <v>0</v>
      </c>
      <c r="Q89" s="24">
        <f t="shared" si="7"/>
        <v>0</v>
      </c>
      <c r="R89" s="24">
        <f t="shared" si="7"/>
        <v>0</v>
      </c>
      <c r="S89" s="24">
        <f t="shared" si="7"/>
        <v>0</v>
      </c>
      <c r="T89" s="24">
        <f t="shared" si="7"/>
        <v>0</v>
      </c>
      <c r="U89" s="24">
        <f t="shared" si="7"/>
        <v>0</v>
      </c>
      <c r="V89" s="24">
        <f t="shared" si="7"/>
        <v>0</v>
      </c>
      <c r="W89" s="24">
        <f t="shared" si="7"/>
        <v>0</v>
      </c>
      <c r="X89" s="24">
        <f t="shared" si="7"/>
        <v>0</v>
      </c>
      <c r="Y89" s="24">
        <f t="shared" si="7"/>
        <v>0</v>
      </c>
      <c r="Z89" s="24">
        <f t="shared" si="7"/>
        <v>0</v>
      </c>
      <c r="AA89" s="24">
        <f t="shared" si="7"/>
        <v>0</v>
      </c>
      <c r="AB89" s="24">
        <f t="shared" si="7"/>
        <v>0</v>
      </c>
      <c r="AC89" s="24">
        <f t="shared" si="7"/>
        <v>0</v>
      </c>
      <c r="AD89" s="24">
        <f t="shared" si="7"/>
        <v>0</v>
      </c>
      <c r="AE89" s="24">
        <f t="shared" si="7"/>
        <v>0</v>
      </c>
      <c r="AF89" s="24">
        <f t="shared" si="7"/>
        <v>0</v>
      </c>
      <c r="AG89" s="24">
        <f t="shared" si="7"/>
        <v>0</v>
      </c>
      <c r="AH89" s="24">
        <f t="shared" si="7"/>
        <v>0</v>
      </c>
      <c r="AI89" s="24">
        <f t="shared" si="7"/>
        <v>0</v>
      </c>
    </row>
    <row r="90" spans="5:35" x14ac:dyDescent="0.3">
      <c r="E90" s="12" t="s">
        <v>127</v>
      </c>
      <c r="F90" s="10"/>
      <c r="G90" s="12" t="str">
        <f t="shared" si="6"/>
        <v>£/year</v>
      </c>
      <c r="J90" s="24">
        <f t="shared" ref="J90:AI90" si="8">IF(J60=0,0,$F$83)</f>
        <v>0</v>
      </c>
      <c r="K90" s="24">
        <f t="shared" si="8"/>
        <v>0</v>
      </c>
      <c r="L90" s="24">
        <f t="shared" si="8"/>
        <v>0</v>
      </c>
      <c r="M90" s="24">
        <f t="shared" si="8"/>
        <v>0</v>
      </c>
      <c r="N90" s="24">
        <f t="shared" si="8"/>
        <v>0</v>
      </c>
      <c r="O90" s="24">
        <f t="shared" si="8"/>
        <v>0</v>
      </c>
      <c r="P90" s="24">
        <f>IF(P60=0,0,$F$83)</f>
        <v>2545.1999999999998</v>
      </c>
      <c r="Q90" s="24">
        <f t="shared" si="8"/>
        <v>2545.1999999999998</v>
      </c>
      <c r="R90" s="24">
        <f t="shared" si="8"/>
        <v>2545.1999999999998</v>
      </c>
      <c r="S90" s="24">
        <f t="shared" si="8"/>
        <v>2545.1999999999998</v>
      </c>
      <c r="T90" s="24">
        <f t="shared" si="8"/>
        <v>2545.1999999999998</v>
      </c>
      <c r="U90" s="24">
        <f t="shared" si="8"/>
        <v>0</v>
      </c>
      <c r="V90" s="24">
        <f t="shared" si="8"/>
        <v>0</v>
      </c>
      <c r="W90" s="24">
        <f t="shared" si="8"/>
        <v>0</v>
      </c>
      <c r="X90" s="24">
        <f t="shared" si="8"/>
        <v>0</v>
      </c>
      <c r="Y90" s="24">
        <f t="shared" si="8"/>
        <v>0</v>
      </c>
      <c r="Z90" s="24">
        <f t="shared" si="8"/>
        <v>0</v>
      </c>
      <c r="AA90" s="24">
        <f t="shared" si="8"/>
        <v>0</v>
      </c>
      <c r="AB90" s="24">
        <f t="shared" si="8"/>
        <v>0</v>
      </c>
      <c r="AC90" s="24">
        <f t="shared" si="8"/>
        <v>0</v>
      </c>
      <c r="AD90" s="24">
        <f t="shared" si="8"/>
        <v>0</v>
      </c>
      <c r="AE90" s="24">
        <f t="shared" si="8"/>
        <v>0</v>
      </c>
      <c r="AF90" s="24">
        <f t="shared" si="8"/>
        <v>0</v>
      </c>
      <c r="AG90" s="24">
        <f t="shared" si="8"/>
        <v>0</v>
      </c>
      <c r="AH90" s="24">
        <f t="shared" si="8"/>
        <v>0</v>
      </c>
      <c r="AI90" s="24">
        <f t="shared" si="8"/>
        <v>0</v>
      </c>
    </row>
    <row r="91" spans="5:35" x14ac:dyDescent="0.3">
      <c r="E91" s="12" t="s">
        <v>128</v>
      </c>
      <c r="F91" s="10"/>
      <c r="G91" s="12" t="str">
        <f t="shared" si="6"/>
        <v>£/year</v>
      </c>
      <c r="J91" s="24">
        <f t="shared" ref="J91:AI91" si="9">IF(J61=0,0,$F$83)</f>
        <v>0</v>
      </c>
      <c r="K91" s="24">
        <f t="shared" si="9"/>
        <v>0</v>
      </c>
      <c r="L91" s="24">
        <f t="shared" si="9"/>
        <v>0</v>
      </c>
      <c r="M91" s="24">
        <f t="shared" si="9"/>
        <v>0</v>
      </c>
      <c r="N91" s="24">
        <f t="shared" si="9"/>
        <v>0</v>
      </c>
      <c r="O91" s="24">
        <f t="shared" si="9"/>
        <v>0</v>
      </c>
      <c r="P91" s="24">
        <f t="shared" si="9"/>
        <v>0</v>
      </c>
      <c r="Q91" s="24">
        <f t="shared" si="9"/>
        <v>0</v>
      </c>
      <c r="R91" s="24">
        <f t="shared" si="9"/>
        <v>0</v>
      </c>
      <c r="S91" s="24">
        <f t="shared" si="9"/>
        <v>0</v>
      </c>
      <c r="T91" s="24">
        <f t="shared" si="9"/>
        <v>0</v>
      </c>
      <c r="U91" s="24">
        <f t="shared" si="9"/>
        <v>2545.1999999999998</v>
      </c>
      <c r="V91" s="24">
        <f t="shared" si="9"/>
        <v>2545.1999999999998</v>
      </c>
      <c r="W91" s="24">
        <f t="shared" si="9"/>
        <v>2545.1999999999998</v>
      </c>
      <c r="X91" s="24">
        <f t="shared" si="9"/>
        <v>2545.1999999999998</v>
      </c>
      <c r="Y91" s="24">
        <f t="shared" si="9"/>
        <v>2545.1999999999998</v>
      </c>
      <c r="Z91" s="24">
        <f t="shared" si="9"/>
        <v>0</v>
      </c>
      <c r="AA91" s="24">
        <f t="shared" si="9"/>
        <v>0</v>
      </c>
      <c r="AB91" s="24">
        <f t="shared" si="9"/>
        <v>0</v>
      </c>
      <c r="AC91" s="24">
        <f t="shared" si="9"/>
        <v>0</v>
      </c>
      <c r="AD91" s="24">
        <f t="shared" si="9"/>
        <v>0</v>
      </c>
      <c r="AE91" s="24">
        <f t="shared" si="9"/>
        <v>0</v>
      </c>
      <c r="AF91" s="24">
        <f t="shared" si="9"/>
        <v>0</v>
      </c>
      <c r="AG91" s="24">
        <f t="shared" si="9"/>
        <v>0</v>
      </c>
      <c r="AH91" s="24">
        <f t="shared" si="9"/>
        <v>0</v>
      </c>
      <c r="AI91" s="24">
        <f t="shared" si="9"/>
        <v>0</v>
      </c>
    </row>
    <row r="92" spans="5:35" x14ac:dyDescent="0.3">
      <c r="E92" s="12" t="s">
        <v>129</v>
      </c>
      <c r="F92" s="10"/>
      <c r="G92" s="12" t="str">
        <f t="shared" si="6"/>
        <v>£/year</v>
      </c>
      <c r="J92" s="24">
        <f t="shared" ref="J92:AI92" si="10">IF(J62=0,0,$F$83)</f>
        <v>0</v>
      </c>
      <c r="K92" s="24">
        <f t="shared" si="10"/>
        <v>0</v>
      </c>
      <c r="L92" s="24">
        <f t="shared" si="10"/>
        <v>0</v>
      </c>
      <c r="M92" s="24">
        <f t="shared" si="10"/>
        <v>0</v>
      </c>
      <c r="N92" s="24">
        <f t="shared" si="10"/>
        <v>0</v>
      </c>
      <c r="O92" s="24">
        <f t="shared" si="10"/>
        <v>0</v>
      </c>
      <c r="P92" s="24">
        <f t="shared" si="10"/>
        <v>0</v>
      </c>
      <c r="Q92" s="24">
        <f t="shared" si="10"/>
        <v>0</v>
      </c>
      <c r="R92" s="24">
        <f t="shared" si="10"/>
        <v>0</v>
      </c>
      <c r="S92" s="24">
        <f t="shared" si="10"/>
        <v>0</v>
      </c>
      <c r="T92" s="24">
        <f t="shared" si="10"/>
        <v>0</v>
      </c>
      <c r="U92" s="24">
        <f t="shared" si="10"/>
        <v>0</v>
      </c>
      <c r="V92" s="24">
        <f t="shared" si="10"/>
        <v>0</v>
      </c>
      <c r="W92" s="24">
        <f t="shared" si="10"/>
        <v>0</v>
      </c>
      <c r="X92" s="24">
        <f t="shared" si="10"/>
        <v>0</v>
      </c>
      <c r="Y92" s="24">
        <f t="shared" si="10"/>
        <v>0</v>
      </c>
      <c r="Z92" s="24">
        <f t="shared" si="10"/>
        <v>2545.1999999999998</v>
      </c>
      <c r="AA92" s="24">
        <f t="shared" si="10"/>
        <v>2545.1999999999998</v>
      </c>
      <c r="AB92" s="24">
        <f t="shared" si="10"/>
        <v>2545.1999999999998</v>
      </c>
      <c r="AC92" s="24">
        <f t="shared" si="10"/>
        <v>2545.1999999999998</v>
      </c>
      <c r="AD92" s="24">
        <f t="shared" si="10"/>
        <v>2545.1999999999998</v>
      </c>
      <c r="AE92" s="24">
        <f t="shared" si="10"/>
        <v>0</v>
      </c>
      <c r="AF92" s="24">
        <f t="shared" si="10"/>
        <v>0</v>
      </c>
      <c r="AG92" s="24">
        <f t="shared" si="10"/>
        <v>0</v>
      </c>
      <c r="AH92" s="24">
        <f t="shared" si="10"/>
        <v>0</v>
      </c>
      <c r="AI92" s="24">
        <f t="shared" si="10"/>
        <v>0</v>
      </c>
    </row>
    <row r="93" spans="5:35" x14ac:dyDescent="0.3">
      <c r="E93" s="12" t="s">
        <v>130</v>
      </c>
      <c r="F93" s="10"/>
      <c r="G93" s="12" t="str">
        <f t="shared" si="6"/>
        <v>£/year</v>
      </c>
      <c r="J93" s="24">
        <f t="shared" ref="J93:AI93" si="11">IF(J63=0,0,$F$83)</f>
        <v>0</v>
      </c>
      <c r="K93" s="24">
        <f t="shared" si="11"/>
        <v>0</v>
      </c>
      <c r="L93" s="24">
        <f t="shared" si="11"/>
        <v>0</v>
      </c>
      <c r="M93" s="24">
        <f t="shared" si="11"/>
        <v>0</v>
      </c>
      <c r="N93" s="24">
        <f t="shared" si="11"/>
        <v>0</v>
      </c>
      <c r="O93" s="24">
        <f t="shared" si="11"/>
        <v>0</v>
      </c>
      <c r="P93" s="24">
        <f t="shared" si="11"/>
        <v>0</v>
      </c>
      <c r="Q93" s="24">
        <f t="shared" si="11"/>
        <v>0</v>
      </c>
      <c r="R93" s="24">
        <f t="shared" si="11"/>
        <v>0</v>
      </c>
      <c r="S93" s="24">
        <f t="shared" si="11"/>
        <v>0</v>
      </c>
      <c r="T93" s="24">
        <f t="shared" si="11"/>
        <v>0</v>
      </c>
      <c r="U93" s="24">
        <f t="shared" si="11"/>
        <v>0</v>
      </c>
      <c r="V93" s="24">
        <f t="shared" si="11"/>
        <v>0</v>
      </c>
      <c r="W93" s="24">
        <f t="shared" si="11"/>
        <v>0</v>
      </c>
      <c r="X93" s="24">
        <f t="shared" si="11"/>
        <v>0</v>
      </c>
      <c r="Y93" s="24">
        <f t="shared" si="11"/>
        <v>0</v>
      </c>
      <c r="Z93" s="24">
        <f t="shared" si="11"/>
        <v>0</v>
      </c>
      <c r="AA93" s="24">
        <f t="shared" si="11"/>
        <v>0</v>
      </c>
      <c r="AB93" s="24">
        <f t="shared" si="11"/>
        <v>0</v>
      </c>
      <c r="AC93" s="24">
        <f t="shared" si="11"/>
        <v>0</v>
      </c>
      <c r="AD93" s="24">
        <f t="shared" si="11"/>
        <v>0</v>
      </c>
      <c r="AE93" s="24">
        <f t="shared" si="11"/>
        <v>2545.1999999999998</v>
      </c>
      <c r="AF93" s="24">
        <f t="shared" si="11"/>
        <v>2545.1999999999998</v>
      </c>
      <c r="AG93" s="24">
        <f t="shared" si="11"/>
        <v>2545.1999999999998</v>
      </c>
      <c r="AH93" s="24">
        <f t="shared" si="11"/>
        <v>2545.1999999999998</v>
      </c>
      <c r="AI93" s="24">
        <f t="shared" si="11"/>
        <v>2545.1999999999998</v>
      </c>
    </row>
    <row r="94" spans="5:35" x14ac:dyDescent="0.3">
      <c r="E94" s="12" t="s">
        <v>131</v>
      </c>
      <c r="F94" s="10"/>
      <c r="G94" s="12" t="str">
        <f t="shared" si="6"/>
        <v>£/year</v>
      </c>
      <c r="J94" s="24">
        <f t="shared" ref="J94:AI94" si="12">IF(J64=0,0,$F$83)</f>
        <v>0</v>
      </c>
      <c r="K94" s="24">
        <f t="shared" si="12"/>
        <v>0</v>
      </c>
      <c r="L94" s="24">
        <f t="shared" si="12"/>
        <v>0</v>
      </c>
      <c r="M94" s="24">
        <f t="shared" si="12"/>
        <v>0</v>
      </c>
      <c r="N94" s="24">
        <f t="shared" si="12"/>
        <v>0</v>
      </c>
      <c r="O94" s="24">
        <f t="shared" si="12"/>
        <v>0</v>
      </c>
      <c r="P94" s="24">
        <f t="shared" si="12"/>
        <v>0</v>
      </c>
      <c r="Q94" s="24">
        <f t="shared" si="12"/>
        <v>0</v>
      </c>
      <c r="R94" s="24">
        <f t="shared" si="12"/>
        <v>0</v>
      </c>
      <c r="S94" s="24">
        <f t="shared" si="12"/>
        <v>0</v>
      </c>
      <c r="T94" s="24">
        <f t="shared" si="12"/>
        <v>0</v>
      </c>
      <c r="U94" s="24">
        <f t="shared" si="12"/>
        <v>0</v>
      </c>
      <c r="V94" s="24">
        <f t="shared" si="12"/>
        <v>0</v>
      </c>
      <c r="W94" s="24">
        <f t="shared" si="12"/>
        <v>0</v>
      </c>
      <c r="X94" s="24">
        <f t="shared" si="12"/>
        <v>0</v>
      </c>
      <c r="Y94" s="24">
        <f t="shared" si="12"/>
        <v>0</v>
      </c>
      <c r="Z94" s="24">
        <f t="shared" si="12"/>
        <v>0</v>
      </c>
      <c r="AA94" s="24">
        <f t="shared" si="12"/>
        <v>0</v>
      </c>
      <c r="AB94" s="24">
        <f t="shared" si="12"/>
        <v>0</v>
      </c>
      <c r="AC94" s="24">
        <f t="shared" si="12"/>
        <v>0</v>
      </c>
      <c r="AD94" s="24">
        <f t="shared" si="12"/>
        <v>0</v>
      </c>
      <c r="AE94" s="24">
        <f t="shared" si="12"/>
        <v>0</v>
      </c>
      <c r="AF94" s="24">
        <f t="shared" si="12"/>
        <v>0</v>
      </c>
      <c r="AG94" s="24">
        <f t="shared" si="12"/>
        <v>0</v>
      </c>
      <c r="AH94" s="24">
        <f t="shared" si="12"/>
        <v>0</v>
      </c>
      <c r="AI94" s="24">
        <f t="shared" si="12"/>
        <v>0</v>
      </c>
    </row>
    <row r="95" spans="5:35" x14ac:dyDescent="0.3">
      <c r="E95" s="12"/>
      <c r="F95" s="10"/>
      <c r="G95" s="10"/>
      <c r="J95" s="18"/>
      <c r="K95" s="18"/>
      <c r="L95" s="18"/>
      <c r="M95" s="18"/>
      <c r="N95" s="18"/>
      <c r="O95" s="18"/>
      <c r="P95" s="18"/>
      <c r="Q95" s="18"/>
      <c r="R95" s="18"/>
      <c r="S95" s="18"/>
      <c r="T95" s="18"/>
      <c r="U95" s="18"/>
      <c r="V95" s="18"/>
      <c r="W95" s="18"/>
      <c r="X95" s="18"/>
      <c r="Y95" s="18"/>
      <c r="Z95" s="18"/>
      <c r="AA95" s="18"/>
      <c r="AB95" s="18"/>
      <c r="AC95" s="18"/>
      <c r="AD95" s="18"/>
      <c r="AE95" s="18"/>
      <c r="AF95" s="18"/>
      <c r="AG95" s="18"/>
      <c r="AH95" s="18"/>
      <c r="AI95" s="18"/>
    </row>
    <row r="96" spans="5:35" x14ac:dyDescent="0.3">
      <c r="E96" s="10" t="str">
        <f>Time!E55</f>
        <v>Option 1 flag</v>
      </c>
      <c r="F96" s="10"/>
      <c r="G96" s="10"/>
      <c r="H96" s="10"/>
      <c r="I96" s="10"/>
      <c r="J96" s="20">
        <f>Time!F55</f>
        <v>0</v>
      </c>
      <c r="K96" s="20">
        <f>Time!G55</f>
        <v>1</v>
      </c>
      <c r="L96" s="20">
        <f>Time!H55</f>
        <v>1</v>
      </c>
      <c r="M96" s="20">
        <f>Time!I55</f>
        <v>1</v>
      </c>
      <c r="N96" s="20">
        <f>Time!J55</f>
        <v>1</v>
      </c>
      <c r="O96" s="20">
        <f>Time!K55</f>
        <v>1</v>
      </c>
      <c r="P96" s="20">
        <f>Time!L55</f>
        <v>1</v>
      </c>
      <c r="Q96" s="20">
        <f>Time!M55</f>
        <v>1</v>
      </c>
      <c r="R96" s="20">
        <f>Time!N55</f>
        <v>1</v>
      </c>
      <c r="S96" s="20">
        <f>Time!O55</f>
        <v>1</v>
      </c>
      <c r="T96" s="20">
        <f>Time!P55</f>
        <v>1</v>
      </c>
      <c r="U96" s="20">
        <f>Time!Q55</f>
        <v>1</v>
      </c>
      <c r="V96" s="20">
        <f>Time!R55</f>
        <v>1</v>
      </c>
      <c r="W96" s="20">
        <f>Time!S55</f>
        <v>1</v>
      </c>
      <c r="X96" s="20">
        <f>Time!T55</f>
        <v>1</v>
      </c>
      <c r="Y96" s="20">
        <f>Time!U55</f>
        <v>1</v>
      </c>
      <c r="Z96" s="20">
        <f>Time!V55</f>
        <v>1</v>
      </c>
      <c r="AA96" s="20">
        <f>Time!W55</f>
        <v>1</v>
      </c>
      <c r="AB96" s="20">
        <f>Time!X55</f>
        <v>1</v>
      </c>
      <c r="AC96" s="20">
        <f>Time!Y55</f>
        <v>1</v>
      </c>
      <c r="AD96" s="20">
        <f>Time!Z55</f>
        <v>1</v>
      </c>
      <c r="AE96" s="20">
        <f>Time!AA55</f>
        <v>1</v>
      </c>
      <c r="AF96" s="20">
        <f>Time!AB55</f>
        <v>1</v>
      </c>
      <c r="AG96" s="20">
        <f>Time!AC55</f>
        <v>1</v>
      </c>
      <c r="AH96" s="20">
        <f>Time!AD55</f>
        <v>1</v>
      </c>
      <c r="AI96" s="20">
        <f>Time!AE55</f>
        <v>1</v>
      </c>
    </row>
    <row r="97" spans="4:35" x14ac:dyDescent="0.3">
      <c r="E97" s="1" t="s">
        <v>139</v>
      </c>
      <c r="F97" s="10"/>
      <c r="G97" s="12" t="str">
        <f>$F$3&amp;"/year"</f>
        <v>£/year</v>
      </c>
      <c r="H97" s="24">
        <f>SUM(J97:AI97)</f>
        <v>63503.999999999971</v>
      </c>
      <c r="J97">
        <f>IF(J96=1,SUM(J89:J94),0)</f>
        <v>0</v>
      </c>
      <c r="K97" s="24">
        <f t="shared" ref="K97:AI97" si="13">IF(K96=1,SUM(K89:K94),0)</f>
        <v>2520</v>
      </c>
      <c r="L97" s="24">
        <f t="shared" si="13"/>
        <v>2520</v>
      </c>
      <c r="M97" s="24">
        <f t="shared" si="13"/>
        <v>2520</v>
      </c>
      <c r="N97" s="24">
        <f t="shared" si="13"/>
        <v>2520</v>
      </c>
      <c r="O97" s="24">
        <f t="shared" si="13"/>
        <v>2520</v>
      </c>
      <c r="P97" s="24">
        <f t="shared" si="13"/>
        <v>2545.1999999999998</v>
      </c>
      <c r="Q97" s="24">
        <f t="shared" si="13"/>
        <v>2545.1999999999998</v>
      </c>
      <c r="R97" s="24">
        <f t="shared" si="13"/>
        <v>2545.1999999999998</v>
      </c>
      <c r="S97" s="24">
        <f t="shared" si="13"/>
        <v>2545.1999999999998</v>
      </c>
      <c r="T97" s="24">
        <f t="shared" si="13"/>
        <v>2545.1999999999998</v>
      </c>
      <c r="U97" s="24">
        <f t="shared" si="13"/>
        <v>2545.1999999999998</v>
      </c>
      <c r="V97" s="24">
        <f t="shared" si="13"/>
        <v>2545.1999999999998</v>
      </c>
      <c r="W97" s="24">
        <f t="shared" si="13"/>
        <v>2545.1999999999998</v>
      </c>
      <c r="X97" s="24">
        <f t="shared" si="13"/>
        <v>2545.1999999999998</v>
      </c>
      <c r="Y97" s="24">
        <f t="shared" si="13"/>
        <v>2545.1999999999998</v>
      </c>
      <c r="Z97" s="24">
        <f t="shared" si="13"/>
        <v>2545.1999999999998</v>
      </c>
      <c r="AA97" s="24">
        <f t="shared" si="13"/>
        <v>2545.1999999999998</v>
      </c>
      <c r="AB97" s="24">
        <f t="shared" si="13"/>
        <v>2545.1999999999998</v>
      </c>
      <c r="AC97" s="24">
        <f t="shared" si="13"/>
        <v>2545.1999999999998</v>
      </c>
      <c r="AD97" s="24">
        <f t="shared" si="13"/>
        <v>2545.1999999999998</v>
      </c>
      <c r="AE97" s="24">
        <f t="shared" si="13"/>
        <v>2545.1999999999998</v>
      </c>
      <c r="AF97" s="24">
        <f t="shared" si="13"/>
        <v>2545.1999999999998</v>
      </c>
      <c r="AG97" s="24">
        <f t="shared" si="13"/>
        <v>2545.1999999999998</v>
      </c>
      <c r="AH97" s="24">
        <f t="shared" si="13"/>
        <v>2545.1999999999998</v>
      </c>
      <c r="AI97" s="24">
        <f t="shared" si="13"/>
        <v>2545.1999999999998</v>
      </c>
    </row>
    <row r="98" spans="4:35" x14ac:dyDescent="0.3">
      <c r="E98" s="10"/>
      <c r="F98" s="10"/>
      <c r="G98" s="10"/>
    </row>
    <row r="99" spans="4:35" x14ac:dyDescent="0.3">
      <c r="E99" s="10"/>
      <c r="F99" s="10"/>
      <c r="G99" s="10"/>
    </row>
    <row r="100" spans="4:35" x14ac:dyDescent="0.3">
      <c r="D100" s="1" t="s">
        <v>132</v>
      </c>
      <c r="E100" s="10"/>
      <c r="F100" s="10"/>
      <c r="G100" s="10"/>
    </row>
    <row r="101" spans="4:35" x14ac:dyDescent="0.3">
      <c r="D101" s="1"/>
      <c r="E101" s="10" t="str">
        <f>'Revenue &amp; Electricity Consump'!E42</f>
        <v xml:space="preserve">Option 2 - Per kWh consumed for residential </v>
      </c>
      <c r="F101" s="10">
        <f>'Revenue &amp; Electricity Consump'!F42</f>
        <v>0.2</v>
      </c>
      <c r="G101" s="10" t="str">
        <f>'Revenue &amp; Electricity Consump'!G42</f>
        <v>£/kWh</v>
      </c>
    </row>
    <row r="102" spans="4:35" x14ac:dyDescent="0.3">
      <c r="D102" s="1"/>
      <c r="E102" s="10" t="str">
        <f>'Revenue &amp; Electricity Consump'!E43</f>
        <v>Option 2 - Per kWh consumed for commercial</v>
      </c>
      <c r="F102" s="10">
        <f>'Revenue &amp; Electricity Consump'!F43</f>
        <v>0.2</v>
      </c>
      <c r="G102" s="10" t="str">
        <f>'Revenue &amp; Electricity Consump'!G43</f>
        <v>£/kWh</v>
      </c>
    </row>
    <row r="103" spans="4:35" x14ac:dyDescent="0.3">
      <c r="D103" s="1"/>
      <c r="E103" s="10"/>
      <c r="F103" s="10"/>
      <c r="G103" s="10"/>
    </row>
    <row r="104" spans="4:35" x14ac:dyDescent="0.3">
      <c r="D104" s="1"/>
      <c r="E104" s="12" t="s">
        <v>140</v>
      </c>
      <c r="F104" s="12">
        <f>F101</f>
        <v>0.2</v>
      </c>
      <c r="G104" s="12" t="str">
        <f>$G$101</f>
        <v>£/kWh</v>
      </c>
    </row>
    <row r="105" spans="4:35" x14ac:dyDescent="0.3">
      <c r="D105" s="1"/>
      <c r="E105" s="12" t="s">
        <v>141</v>
      </c>
      <c r="F105" s="12">
        <f>F102</f>
        <v>0.2</v>
      </c>
      <c r="G105" s="12" t="str">
        <f t="shared" ref="G105:G115" si="14">$G$101</f>
        <v>£/kWh</v>
      </c>
    </row>
    <row r="106" spans="4:35" x14ac:dyDescent="0.3">
      <c r="D106" s="1"/>
      <c r="E106" s="12" t="s">
        <v>142</v>
      </c>
      <c r="F106" s="21">
        <f>F104*(1+$F$52)</f>
        <v>0.20200000000000001</v>
      </c>
      <c r="G106" s="12" t="str">
        <f t="shared" si="14"/>
        <v>£/kWh</v>
      </c>
    </row>
    <row r="107" spans="4:35" x14ac:dyDescent="0.3">
      <c r="D107" s="1"/>
      <c r="E107" s="12" t="s">
        <v>147</v>
      </c>
      <c r="F107" s="21">
        <f>F105*(1+$F$52)</f>
        <v>0.20200000000000001</v>
      </c>
      <c r="G107" s="12" t="str">
        <f t="shared" si="14"/>
        <v>£/kWh</v>
      </c>
    </row>
    <row r="108" spans="4:35" x14ac:dyDescent="0.3">
      <c r="D108" s="1"/>
      <c r="E108" s="12" t="s">
        <v>143</v>
      </c>
      <c r="F108" s="21">
        <f>F106*(1+$F$53)</f>
        <v>0.20502999999999999</v>
      </c>
      <c r="G108" s="12" t="str">
        <f t="shared" si="14"/>
        <v>£/kWh</v>
      </c>
    </row>
    <row r="109" spans="4:35" x14ac:dyDescent="0.3">
      <c r="D109" s="1"/>
      <c r="E109" s="12" t="s">
        <v>148</v>
      </c>
      <c r="F109" s="21">
        <f>F107*(1+$F$53)</f>
        <v>0.20502999999999999</v>
      </c>
      <c r="G109" s="12" t="str">
        <f t="shared" si="14"/>
        <v>£/kWh</v>
      </c>
    </row>
    <row r="110" spans="4:35" x14ac:dyDescent="0.3">
      <c r="D110" s="1"/>
      <c r="E110" s="12" t="s">
        <v>144</v>
      </c>
      <c r="F110" s="21">
        <f>F108*(1+$F$54)</f>
        <v>0.20810544999999997</v>
      </c>
      <c r="G110" s="12" t="str">
        <f t="shared" si="14"/>
        <v>£/kWh</v>
      </c>
    </row>
    <row r="111" spans="4:35" x14ac:dyDescent="0.3">
      <c r="D111" s="1"/>
      <c r="E111" s="12" t="s">
        <v>149</v>
      </c>
      <c r="F111" s="21">
        <f>F109*(1+$F$54)</f>
        <v>0.20810544999999997</v>
      </c>
      <c r="G111" s="12" t="str">
        <f t="shared" si="14"/>
        <v>£/kWh</v>
      </c>
    </row>
    <row r="112" spans="4:35" x14ac:dyDescent="0.3">
      <c r="D112" s="1"/>
      <c r="E112" s="12" t="s">
        <v>145</v>
      </c>
      <c r="F112" s="21">
        <f>F110*(1+$F$55)</f>
        <v>0.21122703174999996</v>
      </c>
      <c r="G112" s="12" t="str">
        <f t="shared" si="14"/>
        <v>£/kWh</v>
      </c>
    </row>
    <row r="113" spans="4:35" x14ac:dyDescent="0.3">
      <c r="D113" s="1"/>
      <c r="E113" s="12" t="s">
        <v>150</v>
      </c>
      <c r="F113" s="21">
        <f>F111*(1+$F$55)</f>
        <v>0.21122703174999996</v>
      </c>
      <c r="G113" s="12" t="str">
        <f t="shared" si="14"/>
        <v>£/kWh</v>
      </c>
    </row>
    <row r="114" spans="4:35" x14ac:dyDescent="0.3">
      <c r="D114" s="1"/>
      <c r="E114" s="12" t="s">
        <v>146</v>
      </c>
      <c r="F114" s="21">
        <f>F112*(1+$F$56)</f>
        <v>0.21439543722624993</v>
      </c>
      <c r="G114" s="12" t="str">
        <f t="shared" si="14"/>
        <v>£/kWh</v>
      </c>
    </row>
    <row r="115" spans="4:35" x14ac:dyDescent="0.3">
      <c r="D115" s="1"/>
      <c r="E115" s="12" t="s">
        <v>151</v>
      </c>
      <c r="F115" s="21">
        <f>F113*(1+$F$56)</f>
        <v>0.21439543722624993</v>
      </c>
      <c r="G115" s="12" t="str">
        <f t="shared" si="14"/>
        <v>£/kWh</v>
      </c>
    </row>
    <row r="116" spans="4:35" x14ac:dyDescent="0.3">
      <c r="D116" s="1"/>
      <c r="E116" s="10"/>
      <c r="F116" s="10"/>
      <c r="G116" s="10"/>
    </row>
    <row r="117" spans="4:35" x14ac:dyDescent="0.3">
      <c r="D117" s="1"/>
      <c r="E117" s="10"/>
      <c r="F117" s="10"/>
      <c r="G117" s="10"/>
    </row>
    <row r="118" spans="4:35" x14ac:dyDescent="0.3">
      <c r="E118" s="10" t="str">
        <f>Energy!E48</f>
        <v>Yearly energy consumption residential</v>
      </c>
      <c r="F118" s="10"/>
      <c r="G118" s="10" t="str">
        <f>Energy!G48</f>
        <v>kWh/year</v>
      </c>
      <c r="H118" s="10"/>
      <c r="I118" s="10"/>
      <c r="J118" s="10">
        <f>Energy!J48</f>
        <v>0</v>
      </c>
      <c r="K118" s="10">
        <f>Energy!K48</f>
        <v>36000</v>
      </c>
      <c r="L118" s="10">
        <f>Energy!L48</f>
        <v>36360</v>
      </c>
      <c r="M118" s="10">
        <f>Energy!M48</f>
        <v>36723.599999999999</v>
      </c>
      <c r="N118" s="10">
        <f>Energy!N48</f>
        <v>37090.835999999996</v>
      </c>
      <c r="O118" s="10">
        <f>Energy!O48</f>
        <v>37461.744359999997</v>
      </c>
      <c r="P118" s="10">
        <f>Energy!P48</f>
        <v>37836.361803599997</v>
      </c>
      <c r="Q118" s="10">
        <f>Energy!Q48</f>
        <v>38214.725421635994</v>
      </c>
      <c r="R118" s="10">
        <f>Energy!R48</f>
        <v>38596.872675852355</v>
      </c>
      <c r="S118" s="10">
        <f>Energy!S48</f>
        <v>38982.84140261088</v>
      </c>
      <c r="T118" s="10">
        <f>Energy!T48</f>
        <v>39372.66981663699</v>
      </c>
      <c r="U118" s="10">
        <f>Energy!U48</f>
        <v>39766.39651480336</v>
      </c>
      <c r="V118" s="10">
        <f>Energy!V48</f>
        <v>40164.060479951397</v>
      </c>
      <c r="W118" s="10">
        <f>Energy!W48</f>
        <v>40565.701084750908</v>
      </c>
      <c r="X118" s="10">
        <f>Energy!X48</f>
        <v>40971.358095598414</v>
      </c>
      <c r="Y118" s="10">
        <f>Energy!Y48</f>
        <v>41381.071676554398</v>
      </c>
      <c r="Z118" s="10">
        <f>Energy!Z48</f>
        <v>41794.882393319946</v>
      </c>
      <c r="AA118" s="10">
        <f>Energy!AA48</f>
        <v>42212.831217253144</v>
      </c>
      <c r="AB118" s="10">
        <f>Energy!AB48</f>
        <v>42634.959529425672</v>
      </c>
      <c r="AC118" s="10">
        <f>Energy!AC48</f>
        <v>43061.309124719926</v>
      </c>
      <c r="AD118" s="10">
        <f>Energy!AD48</f>
        <v>43491.922215967126</v>
      </c>
      <c r="AE118" s="10">
        <f>Energy!AE48</f>
        <v>43926.841438126801</v>
      </c>
      <c r="AF118" s="10">
        <f>Energy!AF48</f>
        <v>44366.109852508067</v>
      </c>
      <c r="AG118" s="10">
        <f>Energy!AG48</f>
        <v>44809.770951033148</v>
      </c>
      <c r="AH118" s="10">
        <f>Energy!AH48</f>
        <v>45257.868660543478</v>
      </c>
      <c r="AI118" s="10">
        <f>Energy!AI48</f>
        <v>45710.447347148911</v>
      </c>
    </row>
    <row r="119" spans="4:35" x14ac:dyDescent="0.3">
      <c r="E119" s="10" t="str">
        <f>Energy!E49</f>
        <v>Yearly energy consumption commercial</v>
      </c>
      <c r="F119" s="10"/>
      <c r="G119" s="10" t="str">
        <f>Energy!G49</f>
        <v>kWh/year</v>
      </c>
      <c r="H119" s="10"/>
      <c r="I119" s="10"/>
      <c r="J119" s="10">
        <f>Energy!J49</f>
        <v>0</v>
      </c>
      <c r="K119" s="10">
        <f>Energy!K49</f>
        <v>14400</v>
      </c>
      <c r="L119" s="10">
        <f>Energy!L49</f>
        <v>14544</v>
      </c>
      <c r="M119" s="10">
        <f>Energy!M49</f>
        <v>14689.44</v>
      </c>
      <c r="N119" s="10">
        <f>Energy!N49</f>
        <v>14836.334400000002</v>
      </c>
      <c r="O119" s="10">
        <f>Energy!O49</f>
        <v>14984.697744000001</v>
      </c>
      <c r="P119" s="10">
        <f>Energy!P49</f>
        <v>15134.544721440001</v>
      </c>
      <c r="Q119" s="10">
        <f>Energy!Q49</f>
        <v>15285.890168654401</v>
      </c>
      <c r="R119" s="10">
        <f>Energy!R49</f>
        <v>15438.749070340946</v>
      </c>
      <c r="S119" s="10">
        <f>Energy!S49</f>
        <v>15593.136561044355</v>
      </c>
      <c r="T119" s="10">
        <f>Energy!T49</f>
        <v>15749.0679266548</v>
      </c>
      <c r="U119" s="10">
        <f>Energy!U49</f>
        <v>15906.558605921347</v>
      </c>
      <c r="V119" s="10">
        <f>Energy!V49</f>
        <v>16065.624191980562</v>
      </c>
      <c r="W119" s="10">
        <f>Energy!W49</f>
        <v>16226.280433900367</v>
      </c>
      <c r="X119" s="10">
        <f>Energy!X49</f>
        <v>16388.54323823937</v>
      </c>
      <c r="Y119" s="10">
        <f>Energy!Y49</f>
        <v>16552.428670621764</v>
      </c>
      <c r="Z119" s="10">
        <f>Energy!Z49</f>
        <v>16717.952957327983</v>
      </c>
      <c r="AA119" s="10">
        <f>Energy!AA49</f>
        <v>16885.132486901264</v>
      </c>
      <c r="AB119" s="10">
        <f>Energy!AB49</f>
        <v>17053.983811770278</v>
      </c>
      <c r="AC119" s="10">
        <f>Energy!AC49</f>
        <v>17224.523649887982</v>
      </c>
      <c r="AD119" s="10">
        <f>Energy!AD49</f>
        <v>17396.768886386861</v>
      </c>
      <c r="AE119" s="10">
        <f>Energy!AE49</f>
        <v>17570.736575250728</v>
      </c>
      <c r="AF119" s="10">
        <f>Energy!AF49</f>
        <v>17746.443941003236</v>
      </c>
      <c r="AG119" s="10">
        <f>Energy!AG49</f>
        <v>17923.908380413268</v>
      </c>
      <c r="AH119" s="10">
        <f>Energy!AH49</f>
        <v>18103.1474642174</v>
      </c>
      <c r="AI119" s="10">
        <f>Energy!AI49</f>
        <v>18284.178938859575</v>
      </c>
    </row>
    <row r="121" spans="4:35" x14ac:dyDescent="0.3">
      <c r="E121" t="str">
        <f t="shared" ref="E121:E126" si="15">E59</f>
        <v>Year with no price rise</v>
      </c>
      <c r="J121">
        <f t="shared" ref="J121:AI121" si="16">J59</f>
        <v>0</v>
      </c>
      <c r="K121">
        <f t="shared" si="16"/>
        <v>1</v>
      </c>
      <c r="L121">
        <f t="shared" si="16"/>
        <v>1</v>
      </c>
      <c r="M121">
        <f t="shared" si="16"/>
        <v>1</v>
      </c>
      <c r="N121">
        <f t="shared" si="16"/>
        <v>1</v>
      </c>
      <c r="O121">
        <f t="shared" si="16"/>
        <v>1</v>
      </c>
      <c r="P121">
        <f t="shared" si="16"/>
        <v>0</v>
      </c>
      <c r="Q121">
        <f t="shared" si="16"/>
        <v>0</v>
      </c>
      <c r="R121">
        <f t="shared" si="16"/>
        <v>0</v>
      </c>
      <c r="S121">
        <f t="shared" si="16"/>
        <v>0</v>
      </c>
      <c r="T121">
        <f t="shared" si="16"/>
        <v>0</v>
      </c>
      <c r="U121">
        <f t="shared" si="16"/>
        <v>0</v>
      </c>
      <c r="V121">
        <f t="shared" si="16"/>
        <v>0</v>
      </c>
      <c r="W121">
        <f t="shared" si="16"/>
        <v>0</v>
      </c>
      <c r="X121">
        <f t="shared" si="16"/>
        <v>0</v>
      </c>
      <c r="Y121">
        <f t="shared" si="16"/>
        <v>0</v>
      </c>
      <c r="Z121">
        <f t="shared" si="16"/>
        <v>0</v>
      </c>
      <c r="AA121">
        <f t="shared" si="16"/>
        <v>0</v>
      </c>
      <c r="AB121">
        <f t="shared" si="16"/>
        <v>0</v>
      </c>
      <c r="AC121">
        <f t="shared" si="16"/>
        <v>0</v>
      </c>
      <c r="AD121">
        <f t="shared" si="16"/>
        <v>0</v>
      </c>
      <c r="AE121">
        <f t="shared" si="16"/>
        <v>0</v>
      </c>
      <c r="AF121">
        <f t="shared" si="16"/>
        <v>0</v>
      </c>
      <c r="AG121">
        <f t="shared" si="16"/>
        <v>0</v>
      </c>
      <c r="AH121">
        <f t="shared" si="16"/>
        <v>0</v>
      </c>
      <c r="AI121">
        <f t="shared" si="16"/>
        <v>0</v>
      </c>
    </row>
    <row r="122" spans="4:35" x14ac:dyDescent="0.3">
      <c r="E122" t="str">
        <f t="shared" si="15"/>
        <v>Years with first price rise</v>
      </c>
      <c r="J122">
        <f t="shared" ref="J122:AI122" si="17">J60</f>
        <v>0</v>
      </c>
      <c r="K122">
        <f t="shared" si="17"/>
        <v>0</v>
      </c>
      <c r="L122">
        <f t="shared" si="17"/>
        <v>0</v>
      </c>
      <c r="M122">
        <f t="shared" si="17"/>
        <v>0</v>
      </c>
      <c r="N122">
        <f t="shared" si="17"/>
        <v>0</v>
      </c>
      <c r="O122">
        <f t="shared" si="17"/>
        <v>0</v>
      </c>
      <c r="P122">
        <f t="shared" si="17"/>
        <v>1</v>
      </c>
      <c r="Q122">
        <f t="shared" si="17"/>
        <v>1</v>
      </c>
      <c r="R122">
        <f t="shared" si="17"/>
        <v>1</v>
      </c>
      <c r="S122">
        <f t="shared" si="17"/>
        <v>1</v>
      </c>
      <c r="T122">
        <f t="shared" si="17"/>
        <v>1</v>
      </c>
      <c r="U122">
        <f t="shared" si="17"/>
        <v>0</v>
      </c>
      <c r="V122">
        <f t="shared" si="17"/>
        <v>0</v>
      </c>
      <c r="W122">
        <f t="shared" si="17"/>
        <v>0</v>
      </c>
      <c r="X122">
        <f t="shared" si="17"/>
        <v>0</v>
      </c>
      <c r="Y122">
        <f t="shared" si="17"/>
        <v>0</v>
      </c>
      <c r="Z122">
        <f t="shared" si="17"/>
        <v>0</v>
      </c>
      <c r="AA122">
        <f t="shared" si="17"/>
        <v>0</v>
      </c>
      <c r="AB122">
        <f t="shared" si="17"/>
        <v>0</v>
      </c>
      <c r="AC122">
        <f t="shared" si="17"/>
        <v>0</v>
      </c>
      <c r="AD122">
        <f t="shared" si="17"/>
        <v>0</v>
      </c>
      <c r="AE122">
        <f t="shared" si="17"/>
        <v>0</v>
      </c>
      <c r="AF122">
        <f t="shared" si="17"/>
        <v>0</v>
      </c>
      <c r="AG122">
        <f t="shared" si="17"/>
        <v>0</v>
      </c>
      <c r="AH122">
        <f t="shared" si="17"/>
        <v>0</v>
      </c>
      <c r="AI122">
        <f t="shared" si="17"/>
        <v>0</v>
      </c>
    </row>
    <row r="123" spans="4:35" x14ac:dyDescent="0.3">
      <c r="E123" t="str">
        <f t="shared" si="15"/>
        <v>Years with second price rise</v>
      </c>
      <c r="J123">
        <f t="shared" ref="J123:AI123" si="18">J61</f>
        <v>0</v>
      </c>
      <c r="K123">
        <f t="shared" si="18"/>
        <v>0</v>
      </c>
      <c r="L123">
        <f t="shared" si="18"/>
        <v>0</v>
      </c>
      <c r="M123">
        <f t="shared" si="18"/>
        <v>0</v>
      </c>
      <c r="N123">
        <f t="shared" si="18"/>
        <v>0</v>
      </c>
      <c r="O123">
        <f t="shared" si="18"/>
        <v>0</v>
      </c>
      <c r="P123">
        <f t="shared" si="18"/>
        <v>0</v>
      </c>
      <c r="Q123">
        <f t="shared" si="18"/>
        <v>0</v>
      </c>
      <c r="R123">
        <f t="shared" si="18"/>
        <v>0</v>
      </c>
      <c r="S123">
        <f t="shared" si="18"/>
        <v>0</v>
      </c>
      <c r="T123">
        <f t="shared" si="18"/>
        <v>0</v>
      </c>
      <c r="U123">
        <f t="shared" si="18"/>
        <v>1</v>
      </c>
      <c r="V123">
        <f t="shared" si="18"/>
        <v>1</v>
      </c>
      <c r="W123">
        <f t="shared" si="18"/>
        <v>1</v>
      </c>
      <c r="X123">
        <f t="shared" si="18"/>
        <v>1</v>
      </c>
      <c r="Y123">
        <f t="shared" si="18"/>
        <v>1</v>
      </c>
      <c r="Z123">
        <f t="shared" si="18"/>
        <v>0</v>
      </c>
      <c r="AA123">
        <f t="shared" si="18"/>
        <v>0</v>
      </c>
      <c r="AB123">
        <f t="shared" si="18"/>
        <v>0</v>
      </c>
      <c r="AC123">
        <f t="shared" si="18"/>
        <v>0</v>
      </c>
      <c r="AD123">
        <f t="shared" si="18"/>
        <v>0</v>
      </c>
      <c r="AE123">
        <f t="shared" si="18"/>
        <v>0</v>
      </c>
      <c r="AF123">
        <f t="shared" si="18"/>
        <v>0</v>
      </c>
      <c r="AG123">
        <f t="shared" si="18"/>
        <v>0</v>
      </c>
      <c r="AH123">
        <f t="shared" si="18"/>
        <v>0</v>
      </c>
      <c r="AI123">
        <f t="shared" si="18"/>
        <v>0</v>
      </c>
    </row>
    <row r="124" spans="4:35" x14ac:dyDescent="0.3">
      <c r="E124" t="str">
        <f t="shared" si="15"/>
        <v>Years with third price rise</v>
      </c>
      <c r="J124">
        <f t="shared" ref="J124:AI124" si="19">J62</f>
        <v>0</v>
      </c>
      <c r="K124">
        <f t="shared" si="19"/>
        <v>0</v>
      </c>
      <c r="L124">
        <f t="shared" si="19"/>
        <v>0</v>
      </c>
      <c r="M124">
        <f t="shared" si="19"/>
        <v>0</v>
      </c>
      <c r="N124">
        <f t="shared" si="19"/>
        <v>0</v>
      </c>
      <c r="O124">
        <f t="shared" si="19"/>
        <v>0</v>
      </c>
      <c r="P124">
        <f t="shared" si="19"/>
        <v>0</v>
      </c>
      <c r="Q124">
        <f t="shared" si="19"/>
        <v>0</v>
      </c>
      <c r="R124">
        <f t="shared" si="19"/>
        <v>0</v>
      </c>
      <c r="S124">
        <f t="shared" si="19"/>
        <v>0</v>
      </c>
      <c r="T124">
        <f t="shared" si="19"/>
        <v>0</v>
      </c>
      <c r="U124">
        <f t="shared" si="19"/>
        <v>0</v>
      </c>
      <c r="V124">
        <f t="shared" si="19"/>
        <v>0</v>
      </c>
      <c r="W124">
        <f t="shared" si="19"/>
        <v>0</v>
      </c>
      <c r="X124">
        <f t="shared" si="19"/>
        <v>0</v>
      </c>
      <c r="Y124">
        <f t="shared" si="19"/>
        <v>0</v>
      </c>
      <c r="Z124">
        <f t="shared" si="19"/>
        <v>1</v>
      </c>
      <c r="AA124">
        <f t="shared" si="19"/>
        <v>1</v>
      </c>
      <c r="AB124">
        <f t="shared" si="19"/>
        <v>1</v>
      </c>
      <c r="AC124">
        <f t="shared" si="19"/>
        <v>1</v>
      </c>
      <c r="AD124">
        <f t="shared" si="19"/>
        <v>1</v>
      </c>
      <c r="AE124">
        <f t="shared" si="19"/>
        <v>0</v>
      </c>
      <c r="AF124">
        <f t="shared" si="19"/>
        <v>0</v>
      </c>
      <c r="AG124">
        <f t="shared" si="19"/>
        <v>0</v>
      </c>
      <c r="AH124">
        <f t="shared" si="19"/>
        <v>0</v>
      </c>
      <c r="AI124">
        <f t="shared" si="19"/>
        <v>0</v>
      </c>
    </row>
    <row r="125" spans="4:35" x14ac:dyDescent="0.3">
      <c r="E125" t="str">
        <f t="shared" si="15"/>
        <v>Years with fourth price rise</v>
      </c>
      <c r="J125">
        <f t="shared" ref="J125:AI125" si="20">J63</f>
        <v>0</v>
      </c>
      <c r="K125">
        <f t="shared" si="20"/>
        <v>0</v>
      </c>
      <c r="L125">
        <f t="shared" si="20"/>
        <v>0</v>
      </c>
      <c r="M125">
        <f t="shared" si="20"/>
        <v>0</v>
      </c>
      <c r="N125">
        <f t="shared" si="20"/>
        <v>0</v>
      </c>
      <c r="O125">
        <f t="shared" si="20"/>
        <v>0</v>
      </c>
      <c r="P125">
        <f t="shared" si="20"/>
        <v>0</v>
      </c>
      <c r="Q125">
        <f t="shared" si="20"/>
        <v>0</v>
      </c>
      <c r="R125">
        <f t="shared" si="20"/>
        <v>0</v>
      </c>
      <c r="S125">
        <f t="shared" si="20"/>
        <v>0</v>
      </c>
      <c r="T125">
        <f t="shared" si="20"/>
        <v>0</v>
      </c>
      <c r="U125">
        <f t="shared" si="20"/>
        <v>0</v>
      </c>
      <c r="V125">
        <f t="shared" si="20"/>
        <v>0</v>
      </c>
      <c r="W125">
        <f t="shared" si="20"/>
        <v>0</v>
      </c>
      <c r="X125">
        <f t="shared" si="20"/>
        <v>0</v>
      </c>
      <c r="Y125">
        <f t="shared" si="20"/>
        <v>0</v>
      </c>
      <c r="Z125">
        <f t="shared" si="20"/>
        <v>0</v>
      </c>
      <c r="AA125">
        <f t="shared" si="20"/>
        <v>0</v>
      </c>
      <c r="AB125">
        <f t="shared" si="20"/>
        <v>0</v>
      </c>
      <c r="AC125">
        <f t="shared" si="20"/>
        <v>0</v>
      </c>
      <c r="AD125">
        <f t="shared" si="20"/>
        <v>0</v>
      </c>
      <c r="AE125">
        <f t="shared" si="20"/>
        <v>1</v>
      </c>
      <c r="AF125">
        <f t="shared" si="20"/>
        <v>1</v>
      </c>
      <c r="AG125">
        <f t="shared" si="20"/>
        <v>1</v>
      </c>
      <c r="AH125">
        <f t="shared" si="20"/>
        <v>1</v>
      </c>
      <c r="AI125">
        <f t="shared" si="20"/>
        <v>1</v>
      </c>
    </row>
    <row r="126" spans="4:35" x14ac:dyDescent="0.3">
      <c r="E126" t="str">
        <f t="shared" si="15"/>
        <v>Years with fifth price rise</v>
      </c>
      <c r="J126">
        <f t="shared" ref="J126:AI126" si="21">J64</f>
        <v>0</v>
      </c>
      <c r="K126">
        <f t="shared" si="21"/>
        <v>0</v>
      </c>
      <c r="L126">
        <f t="shared" si="21"/>
        <v>0</v>
      </c>
      <c r="M126">
        <f t="shared" si="21"/>
        <v>0</v>
      </c>
      <c r="N126">
        <f t="shared" si="21"/>
        <v>0</v>
      </c>
      <c r="O126">
        <f t="shared" si="21"/>
        <v>0</v>
      </c>
      <c r="P126">
        <f t="shared" si="21"/>
        <v>0</v>
      </c>
      <c r="Q126">
        <f t="shared" si="21"/>
        <v>0</v>
      </c>
      <c r="R126">
        <f t="shared" si="21"/>
        <v>0</v>
      </c>
      <c r="S126">
        <f t="shared" si="21"/>
        <v>0</v>
      </c>
      <c r="T126">
        <f t="shared" si="21"/>
        <v>0</v>
      </c>
      <c r="U126">
        <f t="shared" si="21"/>
        <v>0</v>
      </c>
      <c r="V126">
        <f t="shared" si="21"/>
        <v>0</v>
      </c>
      <c r="W126">
        <f t="shared" si="21"/>
        <v>0</v>
      </c>
      <c r="X126">
        <f t="shared" si="21"/>
        <v>0</v>
      </c>
      <c r="Y126">
        <f t="shared" si="21"/>
        <v>0</v>
      </c>
      <c r="Z126">
        <f t="shared" si="21"/>
        <v>0</v>
      </c>
      <c r="AA126">
        <f t="shared" si="21"/>
        <v>0</v>
      </c>
      <c r="AB126">
        <f t="shared" si="21"/>
        <v>0</v>
      </c>
      <c r="AC126">
        <f t="shared" si="21"/>
        <v>0</v>
      </c>
      <c r="AD126">
        <f t="shared" si="21"/>
        <v>0</v>
      </c>
      <c r="AE126">
        <f t="shared" si="21"/>
        <v>0</v>
      </c>
      <c r="AF126">
        <f t="shared" si="21"/>
        <v>0</v>
      </c>
      <c r="AG126">
        <f t="shared" si="21"/>
        <v>0</v>
      </c>
      <c r="AH126">
        <f t="shared" si="21"/>
        <v>0</v>
      </c>
      <c r="AI126">
        <f t="shared" si="21"/>
        <v>0</v>
      </c>
    </row>
    <row r="128" spans="4:35" x14ac:dyDescent="0.3">
      <c r="E128" s="12" t="s">
        <v>126</v>
      </c>
      <c r="F128" s="10"/>
      <c r="G128" s="12" t="str">
        <f t="shared" ref="G128:G133" si="22">$F$3&amp;"/year"</f>
        <v>£/year</v>
      </c>
      <c r="J128" s="24">
        <f t="shared" ref="J128:AI128" si="23">IF(J121=0,0,(J$118*$F$104)+(J$119*$F$105))</f>
        <v>0</v>
      </c>
      <c r="K128" s="24">
        <f t="shared" si="23"/>
        <v>10080</v>
      </c>
      <c r="L128" s="24">
        <f t="shared" si="23"/>
        <v>10180.799999999999</v>
      </c>
      <c r="M128" s="24">
        <f t="shared" si="23"/>
        <v>10282.608</v>
      </c>
      <c r="N128" s="24">
        <f t="shared" si="23"/>
        <v>10385.434080000001</v>
      </c>
      <c r="O128" s="24">
        <f t="shared" si="23"/>
        <v>10489.2884208</v>
      </c>
      <c r="P128" s="24">
        <f t="shared" si="23"/>
        <v>0</v>
      </c>
      <c r="Q128" s="24">
        <f t="shared" si="23"/>
        <v>0</v>
      </c>
      <c r="R128" s="24">
        <f t="shared" si="23"/>
        <v>0</v>
      </c>
      <c r="S128" s="24">
        <f t="shared" si="23"/>
        <v>0</v>
      </c>
      <c r="T128" s="24">
        <f t="shared" si="23"/>
        <v>0</v>
      </c>
      <c r="U128" s="24">
        <f t="shared" si="23"/>
        <v>0</v>
      </c>
      <c r="V128" s="24">
        <f t="shared" si="23"/>
        <v>0</v>
      </c>
      <c r="W128" s="24">
        <f t="shared" si="23"/>
        <v>0</v>
      </c>
      <c r="X128" s="24">
        <f t="shared" si="23"/>
        <v>0</v>
      </c>
      <c r="Y128" s="24">
        <f t="shared" si="23"/>
        <v>0</v>
      </c>
      <c r="Z128" s="24">
        <f t="shared" si="23"/>
        <v>0</v>
      </c>
      <c r="AA128" s="24">
        <f t="shared" si="23"/>
        <v>0</v>
      </c>
      <c r="AB128" s="24">
        <f t="shared" si="23"/>
        <v>0</v>
      </c>
      <c r="AC128" s="24">
        <f t="shared" si="23"/>
        <v>0</v>
      </c>
      <c r="AD128" s="24">
        <f t="shared" si="23"/>
        <v>0</v>
      </c>
      <c r="AE128" s="24">
        <f t="shared" si="23"/>
        <v>0</v>
      </c>
      <c r="AF128" s="24">
        <f t="shared" si="23"/>
        <v>0</v>
      </c>
      <c r="AG128" s="24">
        <f t="shared" si="23"/>
        <v>0</v>
      </c>
      <c r="AH128" s="24">
        <f t="shared" si="23"/>
        <v>0</v>
      </c>
      <c r="AI128" s="24">
        <f t="shared" si="23"/>
        <v>0</v>
      </c>
    </row>
    <row r="129" spans="4:35" x14ac:dyDescent="0.3">
      <c r="E129" s="12" t="s">
        <v>127</v>
      </c>
      <c r="F129" s="10"/>
      <c r="G129" s="12" t="str">
        <f t="shared" si="22"/>
        <v>£/year</v>
      </c>
      <c r="J129" s="24">
        <f>IF(J122=0,0,(J$118*$F$106)+(J$119*$F$107))</f>
        <v>0</v>
      </c>
      <c r="K129" s="24">
        <f t="shared" ref="K129:AI129" si="24">IF(K122=0,0,(K$118*$F$106)+(K$119*$F$107))</f>
        <v>0</v>
      </c>
      <c r="L129" s="24">
        <f t="shared" si="24"/>
        <v>0</v>
      </c>
      <c r="M129" s="24">
        <f t="shared" si="24"/>
        <v>0</v>
      </c>
      <c r="N129" s="24">
        <f t="shared" si="24"/>
        <v>0</v>
      </c>
      <c r="O129" s="24">
        <f t="shared" si="24"/>
        <v>0</v>
      </c>
      <c r="P129" s="24">
        <f t="shared" si="24"/>
        <v>10700.12311805808</v>
      </c>
      <c r="Q129" s="24">
        <f t="shared" si="24"/>
        <v>10807.12434923866</v>
      </c>
      <c r="R129" s="24">
        <f t="shared" si="24"/>
        <v>10915.195592731048</v>
      </c>
      <c r="S129" s="24">
        <f t="shared" si="24"/>
        <v>11024.347548658357</v>
      </c>
      <c r="T129" s="24">
        <f t="shared" si="24"/>
        <v>11134.591024144942</v>
      </c>
      <c r="U129" s="24">
        <f t="shared" si="24"/>
        <v>0</v>
      </c>
      <c r="V129" s="24">
        <f t="shared" si="24"/>
        <v>0</v>
      </c>
      <c r="W129" s="24">
        <f t="shared" si="24"/>
        <v>0</v>
      </c>
      <c r="X129" s="24">
        <f t="shared" si="24"/>
        <v>0</v>
      </c>
      <c r="Y129" s="24">
        <f t="shared" si="24"/>
        <v>0</v>
      </c>
      <c r="Z129" s="24">
        <f t="shared" si="24"/>
        <v>0</v>
      </c>
      <c r="AA129" s="24">
        <f t="shared" si="24"/>
        <v>0</v>
      </c>
      <c r="AB129" s="24">
        <f t="shared" si="24"/>
        <v>0</v>
      </c>
      <c r="AC129" s="24">
        <f t="shared" si="24"/>
        <v>0</v>
      </c>
      <c r="AD129" s="24">
        <f t="shared" si="24"/>
        <v>0</v>
      </c>
      <c r="AE129" s="24">
        <f t="shared" si="24"/>
        <v>0</v>
      </c>
      <c r="AF129" s="24">
        <f t="shared" si="24"/>
        <v>0</v>
      </c>
      <c r="AG129" s="24">
        <f t="shared" si="24"/>
        <v>0</v>
      </c>
      <c r="AH129" s="24">
        <f t="shared" si="24"/>
        <v>0</v>
      </c>
      <c r="AI129" s="24">
        <f t="shared" si="24"/>
        <v>0</v>
      </c>
    </row>
    <row r="130" spans="4:35" x14ac:dyDescent="0.3">
      <c r="E130" s="12" t="s">
        <v>128</v>
      </c>
      <c r="F130" s="10"/>
      <c r="G130" s="12" t="str">
        <f t="shared" si="22"/>
        <v>£/year</v>
      </c>
      <c r="J130" s="24">
        <f>IF(J123=0,0,(J$118*$F$108)+(J$119*$F$109))</f>
        <v>0</v>
      </c>
      <c r="K130" s="24">
        <f t="shared" ref="K130:AI130" si="25">IF(K123=0,0,(K$118*$F$108)+(K$119*$F$109))</f>
        <v>0</v>
      </c>
      <c r="L130" s="24">
        <f t="shared" si="25"/>
        <v>0</v>
      </c>
      <c r="M130" s="24">
        <f t="shared" si="25"/>
        <v>0</v>
      </c>
      <c r="N130" s="24">
        <f t="shared" si="25"/>
        <v>0</v>
      </c>
      <c r="O130" s="24">
        <f t="shared" si="25"/>
        <v>0</v>
      </c>
      <c r="P130" s="24">
        <f t="shared" si="25"/>
        <v>0</v>
      </c>
      <c r="Q130" s="24">
        <f t="shared" si="25"/>
        <v>0</v>
      </c>
      <c r="R130" s="24">
        <f t="shared" si="25"/>
        <v>0</v>
      </c>
      <c r="S130" s="24">
        <f t="shared" si="25"/>
        <v>0</v>
      </c>
      <c r="T130" s="24">
        <f t="shared" si="25"/>
        <v>0</v>
      </c>
      <c r="U130" s="24">
        <f t="shared" si="25"/>
        <v>11414.625988402186</v>
      </c>
      <c r="V130" s="24">
        <f t="shared" si="25"/>
        <v>11528.772248286208</v>
      </c>
      <c r="W130" s="24">
        <f t="shared" si="25"/>
        <v>11644.059970769071</v>
      </c>
      <c r="X130" s="24">
        <f t="shared" si="25"/>
        <v>11760.500570476761</v>
      </c>
      <c r="Y130" s="24">
        <f t="shared" si="25"/>
        <v>11878.10557618153</v>
      </c>
      <c r="Z130" s="24">
        <f t="shared" si="25"/>
        <v>0</v>
      </c>
      <c r="AA130" s="24">
        <f t="shared" si="25"/>
        <v>0</v>
      </c>
      <c r="AB130" s="24">
        <f t="shared" si="25"/>
        <v>0</v>
      </c>
      <c r="AC130" s="24">
        <f t="shared" si="25"/>
        <v>0</v>
      </c>
      <c r="AD130" s="24">
        <f t="shared" si="25"/>
        <v>0</v>
      </c>
      <c r="AE130" s="24">
        <f t="shared" si="25"/>
        <v>0</v>
      </c>
      <c r="AF130" s="24">
        <f t="shared" si="25"/>
        <v>0</v>
      </c>
      <c r="AG130" s="24">
        <f t="shared" si="25"/>
        <v>0</v>
      </c>
      <c r="AH130" s="24">
        <f t="shared" si="25"/>
        <v>0</v>
      </c>
      <c r="AI130" s="24">
        <f t="shared" si="25"/>
        <v>0</v>
      </c>
    </row>
    <row r="131" spans="4:35" x14ac:dyDescent="0.3">
      <c r="E131" s="12" t="s">
        <v>129</v>
      </c>
      <c r="F131" s="10"/>
      <c r="G131" s="12" t="str">
        <f t="shared" si="22"/>
        <v>£/year</v>
      </c>
      <c r="J131" s="24">
        <f>IF(J124=0,0,(J$118*$F$110)+(J$119*$F$111))</f>
        <v>0</v>
      </c>
      <c r="K131" s="24">
        <f t="shared" ref="K131:AI131" si="26">IF(K124=0,0,(K$118*$F$110)+(K$119*$F$111))</f>
        <v>0</v>
      </c>
      <c r="L131" s="24">
        <f t="shared" si="26"/>
        <v>0</v>
      </c>
      <c r="M131" s="24">
        <f t="shared" si="26"/>
        <v>0</v>
      </c>
      <c r="N131" s="24">
        <f t="shared" si="26"/>
        <v>0</v>
      </c>
      <c r="O131" s="24">
        <f t="shared" si="26"/>
        <v>0</v>
      </c>
      <c r="P131" s="24">
        <f t="shared" si="26"/>
        <v>0</v>
      </c>
      <c r="Q131" s="24">
        <f t="shared" si="26"/>
        <v>0</v>
      </c>
      <c r="R131" s="24">
        <f t="shared" si="26"/>
        <v>0</v>
      </c>
      <c r="S131" s="24">
        <f t="shared" si="26"/>
        <v>0</v>
      </c>
      <c r="T131" s="24">
        <f t="shared" si="26"/>
        <v>0</v>
      </c>
      <c r="U131" s="24">
        <f t="shared" si="26"/>
        <v>0</v>
      </c>
      <c r="V131" s="24">
        <f t="shared" si="26"/>
        <v>0</v>
      </c>
      <c r="W131" s="24">
        <f t="shared" si="26"/>
        <v>0</v>
      </c>
      <c r="X131" s="24">
        <f t="shared" si="26"/>
        <v>0</v>
      </c>
      <c r="Y131" s="24">
        <f t="shared" si="26"/>
        <v>0</v>
      </c>
      <c r="Z131" s="24">
        <f t="shared" si="26"/>
        <v>12176.839931422492</v>
      </c>
      <c r="AA131" s="24">
        <f t="shared" si="26"/>
        <v>12298.608330736717</v>
      </c>
      <c r="AB131" s="24">
        <f t="shared" si="26"/>
        <v>12421.594414044084</v>
      </c>
      <c r="AC131" s="24">
        <f t="shared" si="26"/>
        <v>12545.810358184526</v>
      </c>
      <c r="AD131" s="24">
        <f t="shared" si="26"/>
        <v>12671.268461766369</v>
      </c>
      <c r="AE131" s="24">
        <f t="shared" si="26"/>
        <v>0</v>
      </c>
      <c r="AF131" s="24">
        <f t="shared" si="26"/>
        <v>0</v>
      </c>
      <c r="AG131" s="24">
        <f t="shared" si="26"/>
        <v>0</v>
      </c>
      <c r="AH131" s="24">
        <f t="shared" si="26"/>
        <v>0</v>
      </c>
      <c r="AI131" s="24">
        <f t="shared" si="26"/>
        <v>0</v>
      </c>
    </row>
    <row r="132" spans="4:35" x14ac:dyDescent="0.3">
      <c r="E132" s="12" t="s">
        <v>130</v>
      </c>
      <c r="F132" s="10"/>
      <c r="G132" s="12" t="str">
        <f t="shared" si="22"/>
        <v>£/year</v>
      </c>
      <c r="J132" s="24">
        <f>IF(J125=0,0,(J$118*$F$112)+(J$119*$F$113))</f>
        <v>0</v>
      </c>
      <c r="K132" s="24">
        <f t="shared" ref="K132:AI132" si="27">IF(K125=0,0,(K$118*$F$112)+(K$119*$F$113))</f>
        <v>0</v>
      </c>
      <c r="L132" s="24">
        <f t="shared" si="27"/>
        <v>0</v>
      </c>
      <c r="M132" s="24">
        <f t="shared" si="27"/>
        <v>0</v>
      </c>
      <c r="N132" s="24">
        <f t="shared" si="27"/>
        <v>0</v>
      </c>
      <c r="O132" s="24">
        <f t="shared" si="27"/>
        <v>0</v>
      </c>
      <c r="P132" s="24">
        <f t="shared" si="27"/>
        <v>0</v>
      </c>
      <c r="Q132" s="24">
        <f t="shared" si="27"/>
        <v>0</v>
      </c>
      <c r="R132" s="24">
        <f t="shared" si="27"/>
        <v>0</v>
      </c>
      <c r="S132" s="24">
        <f t="shared" si="27"/>
        <v>0</v>
      </c>
      <c r="T132" s="24">
        <f t="shared" si="27"/>
        <v>0</v>
      </c>
      <c r="U132" s="24">
        <f t="shared" si="27"/>
        <v>0</v>
      </c>
      <c r="V132" s="24">
        <f t="shared" si="27"/>
        <v>0</v>
      </c>
      <c r="W132" s="24">
        <f t="shared" si="27"/>
        <v>0</v>
      </c>
      <c r="X132" s="24">
        <f t="shared" si="27"/>
        <v>0</v>
      </c>
      <c r="Y132" s="24">
        <f t="shared" si="27"/>
        <v>0</v>
      </c>
      <c r="Z132" s="24">
        <f t="shared" si="27"/>
        <v>0</v>
      </c>
      <c r="AA132" s="24">
        <f t="shared" si="27"/>
        <v>0</v>
      </c>
      <c r="AB132" s="24">
        <f t="shared" si="27"/>
        <v>0</v>
      </c>
      <c r="AC132" s="24">
        <f t="shared" si="27"/>
        <v>0</v>
      </c>
      <c r="AD132" s="24">
        <f t="shared" si="27"/>
        <v>0</v>
      </c>
      <c r="AE132" s="24">
        <f>IF(AE125=0,0,(AE$118*$F$112)+(AE$119*$F$113))</f>
        <v>12989.950863579794</v>
      </c>
      <c r="AF132" s="24">
        <f t="shared" si="27"/>
        <v>13119.850372215593</v>
      </c>
      <c r="AG132" s="24">
        <f t="shared" si="27"/>
        <v>13251.048875937748</v>
      </c>
      <c r="AH132" s="24">
        <f t="shared" si="27"/>
        <v>13383.559364697125</v>
      </c>
      <c r="AI132" s="24">
        <f t="shared" si="27"/>
        <v>13517.394958344097</v>
      </c>
    </row>
    <row r="133" spans="4:35" x14ac:dyDescent="0.3">
      <c r="E133" s="12" t="s">
        <v>131</v>
      </c>
      <c r="F133" s="10"/>
      <c r="G133" s="12" t="str">
        <f t="shared" si="22"/>
        <v>£/year</v>
      </c>
      <c r="J133" s="24">
        <f>IF(J126=0,0,(J$118*$F$114)+(J$119*$F$115))</f>
        <v>0</v>
      </c>
      <c r="K133" s="24">
        <f t="shared" ref="K133:AI133" si="28">IF(K126=0,0,(K$118*$F$114)+(K$119*$F$115))</f>
        <v>0</v>
      </c>
      <c r="L133" s="24">
        <f t="shared" si="28"/>
        <v>0</v>
      </c>
      <c r="M133" s="24">
        <f t="shared" si="28"/>
        <v>0</v>
      </c>
      <c r="N133" s="24">
        <f t="shared" si="28"/>
        <v>0</v>
      </c>
      <c r="O133" s="24">
        <f t="shared" si="28"/>
        <v>0</v>
      </c>
      <c r="P133" s="24">
        <f t="shared" si="28"/>
        <v>0</v>
      </c>
      <c r="Q133" s="24">
        <f t="shared" si="28"/>
        <v>0</v>
      </c>
      <c r="R133" s="24">
        <f t="shared" si="28"/>
        <v>0</v>
      </c>
      <c r="S133" s="24">
        <f t="shared" si="28"/>
        <v>0</v>
      </c>
      <c r="T133" s="24">
        <f t="shared" si="28"/>
        <v>0</v>
      </c>
      <c r="U133" s="24">
        <f t="shared" si="28"/>
        <v>0</v>
      </c>
      <c r="V133" s="24">
        <f t="shared" si="28"/>
        <v>0</v>
      </c>
      <c r="W133" s="24">
        <f t="shared" si="28"/>
        <v>0</v>
      </c>
      <c r="X133" s="24">
        <f t="shared" si="28"/>
        <v>0</v>
      </c>
      <c r="Y133" s="24">
        <f t="shared" si="28"/>
        <v>0</v>
      </c>
      <c r="Z133" s="24">
        <f t="shared" si="28"/>
        <v>0</v>
      </c>
      <c r="AA133" s="24">
        <f t="shared" si="28"/>
        <v>0</v>
      </c>
      <c r="AB133" s="24">
        <f t="shared" si="28"/>
        <v>0</v>
      </c>
      <c r="AC133" s="24">
        <f t="shared" si="28"/>
        <v>0</v>
      </c>
      <c r="AD133" s="24">
        <f t="shared" si="28"/>
        <v>0</v>
      </c>
      <c r="AE133" s="24">
        <f t="shared" si="28"/>
        <v>0</v>
      </c>
      <c r="AF133" s="24">
        <f t="shared" si="28"/>
        <v>0</v>
      </c>
      <c r="AG133" s="24">
        <f t="shared" si="28"/>
        <v>0</v>
      </c>
      <c r="AH133" s="24">
        <f t="shared" si="28"/>
        <v>0</v>
      </c>
      <c r="AI133" s="24">
        <f t="shared" si="28"/>
        <v>0</v>
      </c>
    </row>
    <row r="135" spans="4:35" x14ac:dyDescent="0.3">
      <c r="E135" s="10" t="str">
        <f>Time!E56</f>
        <v>Option 2 flag</v>
      </c>
      <c r="F135" s="10"/>
      <c r="G135" s="10"/>
      <c r="H135" s="10"/>
      <c r="I135" s="10"/>
      <c r="J135" s="10">
        <f>Time!F56</f>
        <v>0</v>
      </c>
      <c r="K135" s="10">
        <f>Time!G56</f>
        <v>1</v>
      </c>
      <c r="L135" s="10">
        <f>Time!H56</f>
        <v>1</v>
      </c>
      <c r="M135" s="10">
        <f>Time!I56</f>
        <v>1</v>
      </c>
      <c r="N135" s="10">
        <f>Time!J56</f>
        <v>1</v>
      </c>
      <c r="O135" s="10">
        <f>Time!K56</f>
        <v>1</v>
      </c>
      <c r="P135" s="10">
        <f>Time!L56</f>
        <v>1</v>
      </c>
      <c r="Q135" s="10">
        <f>Time!M56</f>
        <v>1</v>
      </c>
      <c r="R135" s="10">
        <f>Time!N56</f>
        <v>1</v>
      </c>
      <c r="S135" s="10">
        <f>Time!O56</f>
        <v>1</v>
      </c>
      <c r="T135" s="10">
        <f>Time!P56</f>
        <v>1</v>
      </c>
      <c r="U135" s="10">
        <f>Time!Q56</f>
        <v>1</v>
      </c>
      <c r="V135" s="10">
        <f>Time!R56</f>
        <v>1</v>
      </c>
      <c r="W135" s="10">
        <f>Time!S56</f>
        <v>1</v>
      </c>
      <c r="X135" s="10">
        <f>Time!T56</f>
        <v>1</v>
      </c>
      <c r="Y135" s="10">
        <f>Time!U56</f>
        <v>1</v>
      </c>
      <c r="Z135" s="10">
        <f>Time!V56</f>
        <v>1</v>
      </c>
      <c r="AA135" s="10">
        <f>Time!W56</f>
        <v>1</v>
      </c>
      <c r="AB135" s="10">
        <f>Time!X56</f>
        <v>1</v>
      </c>
      <c r="AC135" s="10">
        <f>Time!Y56</f>
        <v>1</v>
      </c>
      <c r="AD135" s="10">
        <f>Time!Z56</f>
        <v>1</v>
      </c>
      <c r="AE135" s="10">
        <f>Time!AA56</f>
        <v>1</v>
      </c>
      <c r="AF135" s="10">
        <f>Time!AB56</f>
        <v>1</v>
      </c>
      <c r="AG135" s="10">
        <f>Time!AC56</f>
        <v>1</v>
      </c>
      <c r="AH135" s="10">
        <f>Time!AD56</f>
        <v>1</v>
      </c>
      <c r="AI135" s="10">
        <f>Time!AE56</f>
        <v>1</v>
      </c>
    </row>
    <row r="136" spans="4:35" x14ac:dyDescent="0.3">
      <c r="E136" s="1" t="s">
        <v>153</v>
      </c>
      <c r="F136" s="10"/>
      <c r="G136" s="12" t="str">
        <f>$F$3&amp;"/year"</f>
        <v>£/year</v>
      </c>
      <c r="H136">
        <f>SUM(J136:AI136)</f>
        <v>292601.5024186754</v>
      </c>
      <c r="J136">
        <f t="shared" ref="J136:AI136" si="29">IF(J135=1,SUM(J128:J133),0)</f>
        <v>0</v>
      </c>
      <c r="K136">
        <f t="shared" si="29"/>
        <v>10080</v>
      </c>
      <c r="L136">
        <f t="shared" si="29"/>
        <v>10180.799999999999</v>
      </c>
      <c r="M136">
        <f t="shared" si="29"/>
        <v>10282.608</v>
      </c>
      <c r="N136">
        <f t="shared" si="29"/>
        <v>10385.434080000001</v>
      </c>
      <c r="O136">
        <f t="shared" si="29"/>
        <v>10489.2884208</v>
      </c>
      <c r="P136">
        <f t="shared" si="29"/>
        <v>10700.12311805808</v>
      </c>
      <c r="Q136">
        <f t="shared" si="29"/>
        <v>10807.12434923866</v>
      </c>
      <c r="R136">
        <f t="shared" si="29"/>
        <v>10915.195592731048</v>
      </c>
      <c r="S136">
        <f t="shared" si="29"/>
        <v>11024.347548658357</v>
      </c>
      <c r="T136">
        <f t="shared" si="29"/>
        <v>11134.591024144942</v>
      </c>
      <c r="U136">
        <f t="shared" si="29"/>
        <v>11414.625988402186</v>
      </c>
      <c r="V136">
        <f t="shared" si="29"/>
        <v>11528.772248286208</v>
      </c>
      <c r="W136">
        <f t="shared" si="29"/>
        <v>11644.059970769071</v>
      </c>
      <c r="X136">
        <f t="shared" si="29"/>
        <v>11760.500570476761</v>
      </c>
      <c r="Y136">
        <f t="shared" si="29"/>
        <v>11878.10557618153</v>
      </c>
      <c r="Z136">
        <f t="shared" si="29"/>
        <v>12176.839931422492</v>
      </c>
      <c r="AA136">
        <f t="shared" si="29"/>
        <v>12298.608330736717</v>
      </c>
      <c r="AB136">
        <f t="shared" si="29"/>
        <v>12421.594414044084</v>
      </c>
      <c r="AC136">
        <f t="shared" si="29"/>
        <v>12545.810358184526</v>
      </c>
      <c r="AD136">
        <f t="shared" si="29"/>
        <v>12671.268461766369</v>
      </c>
      <c r="AE136">
        <f t="shared" si="29"/>
        <v>12989.950863579794</v>
      </c>
      <c r="AF136">
        <f t="shared" si="29"/>
        <v>13119.850372215593</v>
      </c>
      <c r="AG136">
        <f t="shared" si="29"/>
        <v>13251.048875937748</v>
      </c>
      <c r="AH136">
        <f t="shared" si="29"/>
        <v>13383.559364697125</v>
      </c>
      <c r="AI136">
        <f t="shared" si="29"/>
        <v>13517.394958344097</v>
      </c>
    </row>
    <row r="138" spans="4:35" x14ac:dyDescent="0.3">
      <c r="D138" s="1" t="s">
        <v>173</v>
      </c>
    </row>
    <row r="139" spans="4:35" x14ac:dyDescent="0.3">
      <c r="D139" s="1"/>
      <c r="E139" s="10" t="str">
        <f>'Revenue &amp; Electricity Consump'!E14</f>
        <v>Average estimated monthly consumption per residential dwelling</v>
      </c>
      <c r="F139" s="10">
        <f>'Revenue &amp; Electricity Consump'!F14</f>
        <v>100</v>
      </c>
      <c r="G139" s="10" t="str">
        <f>'Revenue &amp; Electricity Consump'!G14</f>
        <v>kWh/dwelling/month</v>
      </c>
    </row>
    <row r="140" spans="4:35" x14ac:dyDescent="0.3">
      <c r="D140" s="1"/>
      <c r="E140" s="10" t="str">
        <f>'Revenue &amp; Electricity Consump'!E15</f>
        <v>Average estimated monthly consumption per commercial dwelling</v>
      </c>
      <c r="F140" s="10">
        <f>'Revenue &amp; Electricity Consump'!F15</f>
        <v>100</v>
      </c>
      <c r="G140" s="10" t="str">
        <f>'Revenue &amp; Electricity Consump'!G15</f>
        <v>kWh/dwelling/month</v>
      </c>
    </row>
    <row r="141" spans="4:35" x14ac:dyDescent="0.3">
      <c r="E141" s="10" t="str">
        <f>'Revenue &amp; Electricity Consump'!E33</f>
        <v>Option3 - kWh benchmark for residentials under fixed costs</v>
      </c>
      <c r="F141" s="10">
        <f>'Revenue &amp; Electricity Consump'!F33</f>
        <v>12</v>
      </c>
      <c r="G141" s="10" t="str">
        <f>'Revenue &amp; Electricity Consump'!G33</f>
        <v>kWh/month/dwelling</v>
      </c>
    </row>
    <row r="142" spans="4:35" x14ac:dyDescent="0.3">
      <c r="E142" s="10" t="str">
        <f>'Revenue &amp; Electricity Consump'!E34</f>
        <v xml:space="preserve">Option3 - kWh benchmark for commercial under fixed costs </v>
      </c>
      <c r="F142" s="10">
        <f>'Revenue &amp; Electricity Consump'!F34</f>
        <v>12</v>
      </c>
      <c r="G142" s="10" t="str">
        <f>'Revenue &amp; Electricity Consump'!G34</f>
        <v>kWh/month/dwelling</v>
      </c>
    </row>
    <row r="143" spans="4:35" x14ac:dyDescent="0.3">
      <c r="E143" t="str">
        <f>E71</f>
        <v>Number of months in a year</v>
      </c>
      <c r="F143">
        <f>F71</f>
        <v>12</v>
      </c>
      <c r="G143" t="str">
        <f>G71</f>
        <v>months</v>
      </c>
    </row>
    <row r="144" spans="4:35" x14ac:dyDescent="0.3">
      <c r="E144" t="str">
        <f>E73</f>
        <v>Number of homes to be connected to the microgrid</v>
      </c>
      <c r="F144">
        <f>F73</f>
        <v>30</v>
      </c>
    </row>
    <row r="145" spans="5:7" x14ac:dyDescent="0.3">
      <c r="E145" t="str">
        <f>E77</f>
        <v>Number of commercial properties to be connected by the microgrid</v>
      </c>
      <c r="F145">
        <f>F77</f>
        <v>12</v>
      </c>
    </row>
    <row r="147" spans="5:7" x14ac:dyDescent="0.3">
      <c r="E147" t="s">
        <v>174</v>
      </c>
      <c r="F147" s="23">
        <f>IF(F141&lt;F139,F141*F143*F144,F139*F143*F144)</f>
        <v>4320</v>
      </c>
      <c r="G147" t="s">
        <v>114</v>
      </c>
    </row>
    <row r="148" spans="5:7" x14ac:dyDescent="0.3">
      <c r="E148" t="s">
        <v>175</v>
      </c>
      <c r="F148" s="23">
        <f>IF(F142&lt;F140,F142*F143*F145,F140*F143*F145)</f>
        <v>1728</v>
      </c>
      <c r="G148" t="s">
        <v>114</v>
      </c>
    </row>
    <row r="150" spans="5:7" x14ac:dyDescent="0.3">
      <c r="E150" s="10" t="str">
        <f>'Revenue &amp; Electricity Consump'!E45</f>
        <v>Option 3 - Fixed cost for residentials</v>
      </c>
      <c r="F150" s="10">
        <f>'Revenue &amp; Electricity Consump'!F45</f>
        <v>2</v>
      </c>
      <c r="G150" s="10" t="str">
        <f>'Revenue &amp; Electricity Consump'!G45</f>
        <v>£/dwelling/month</v>
      </c>
    </row>
    <row r="151" spans="5:7" x14ac:dyDescent="0.3">
      <c r="E151" s="10" t="str">
        <f>'Revenue &amp; Electricity Consump'!E46</f>
        <v>Option 3 - Fixed cost for commercial</v>
      </c>
      <c r="F151" s="10">
        <f>'Revenue &amp; Electricity Consump'!F46</f>
        <v>2</v>
      </c>
      <c r="G151" s="10" t="str">
        <f>'Revenue &amp; Electricity Consump'!G46</f>
        <v>£/dwelling/month</v>
      </c>
    </row>
    <row r="153" spans="5:7" x14ac:dyDescent="0.3">
      <c r="E153" s="12" t="s">
        <v>154</v>
      </c>
      <c r="F153" s="27">
        <f>F147*F150</f>
        <v>8640</v>
      </c>
      <c r="G153" s="12" t="s">
        <v>167</v>
      </c>
    </row>
    <row r="154" spans="5:7" x14ac:dyDescent="0.3">
      <c r="E154" s="12" t="s">
        <v>155</v>
      </c>
      <c r="F154" s="27">
        <f>F148*F151</f>
        <v>3456</v>
      </c>
      <c r="G154" s="12" t="s">
        <v>167</v>
      </c>
    </row>
    <row r="155" spans="5:7" x14ac:dyDescent="0.3">
      <c r="E155" s="12" t="s">
        <v>156</v>
      </c>
      <c r="F155" s="23">
        <f>F153*(1+$F$52)</f>
        <v>8726.4</v>
      </c>
      <c r="G155" s="12" t="s">
        <v>167</v>
      </c>
    </row>
    <row r="156" spans="5:7" x14ac:dyDescent="0.3">
      <c r="E156" s="12" t="s">
        <v>157</v>
      </c>
      <c r="F156" s="23">
        <f>F154*(1+$F$52)</f>
        <v>3490.56</v>
      </c>
      <c r="G156" s="12" t="s">
        <v>167</v>
      </c>
    </row>
    <row r="157" spans="5:7" x14ac:dyDescent="0.3">
      <c r="E157" s="12" t="s">
        <v>158</v>
      </c>
      <c r="F157" s="23">
        <f>F155*(1+$F$53)</f>
        <v>8857.2959999999985</v>
      </c>
      <c r="G157" s="12" t="s">
        <v>167</v>
      </c>
    </row>
    <row r="158" spans="5:7" x14ac:dyDescent="0.3">
      <c r="E158" s="12" t="s">
        <v>159</v>
      </c>
      <c r="F158" s="23">
        <f>F156*(1+$F$53)</f>
        <v>3542.9183999999996</v>
      </c>
      <c r="G158" s="12" t="s">
        <v>167</v>
      </c>
    </row>
    <row r="159" spans="5:7" x14ac:dyDescent="0.3">
      <c r="E159" s="12" t="s">
        <v>160</v>
      </c>
      <c r="F159" s="23">
        <f>F157*(1+$F$54)</f>
        <v>8990.1554399999968</v>
      </c>
      <c r="G159" s="12" t="s">
        <v>167</v>
      </c>
    </row>
    <row r="160" spans="5:7" x14ac:dyDescent="0.3">
      <c r="E160" s="12" t="s">
        <v>161</v>
      </c>
      <c r="F160" s="23">
        <f>F158*(1+$F$54)</f>
        <v>3596.062175999999</v>
      </c>
      <c r="G160" s="12" t="s">
        <v>167</v>
      </c>
    </row>
    <row r="161" spans="5:35" x14ac:dyDescent="0.3">
      <c r="E161" s="12" t="s">
        <v>162</v>
      </c>
      <c r="F161" s="23">
        <f>F159*(1+$F$55)</f>
        <v>9125.007771599996</v>
      </c>
      <c r="G161" s="12" t="s">
        <v>167</v>
      </c>
    </row>
    <row r="162" spans="5:35" x14ac:dyDescent="0.3">
      <c r="E162" s="12" t="s">
        <v>163</v>
      </c>
      <c r="F162" s="23">
        <f>F160*(1+$F$55)</f>
        <v>3650.0031086399986</v>
      </c>
      <c r="G162" s="12" t="s">
        <v>167</v>
      </c>
    </row>
    <row r="163" spans="5:35" x14ac:dyDescent="0.3">
      <c r="E163" s="12" t="s">
        <v>164</v>
      </c>
      <c r="F163" s="23">
        <f>F161*(1+$F$56)</f>
        <v>9261.8828881739955</v>
      </c>
      <c r="G163" s="12" t="s">
        <v>167</v>
      </c>
    </row>
    <row r="164" spans="5:35" x14ac:dyDescent="0.3">
      <c r="E164" s="12" t="s">
        <v>165</v>
      </c>
      <c r="F164" s="23">
        <f>F162*(1+$F$56)</f>
        <v>3704.7531552695982</v>
      </c>
      <c r="G164" s="12" t="s">
        <v>167</v>
      </c>
    </row>
    <row r="166" spans="5:35" x14ac:dyDescent="0.3">
      <c r="E166" s="12" t="s">
        <v>166</v>
      </c>
      <c r="F166" s="23">
        <f>F153+F154</f>
        <v>12096</v>
      </c>
      <c r="G166" s="12" t="s">
        <v>167</v>
      </c>
    </row>
    <row r="167" spans="5:35" x14ac:dyDescent="0.3">
      <c r="E167" s="12" t="s">
        <v>168</v>
      </c>
      <c r="F167" s="23">
        <f>F155+F156</f>
        <v>12216.96</v>
      </c>
      <c r="G167" s="12" t="s">
        <v>167</v>
      </c>
    </row>
    <row r="168" spans="5:35" x14ac:dyDescent="0.3">
      <c r="E168" s="12" t="s">
        <v>169</v>
      </c>
      <c r="F168" s="23">
        <f>F157+F158</f>
        <v>12400.214399999997</v>
      </c>
      <c r="G168" s="12" t="s">
        <v>167</v>
      </c>
    </row>
    <row r="169" spans="5:35" x14ac:dyDescent="0.3">
      <c r="E169" s="12" t="s">
        <v>170</v>
      </c>
      <c r="F169" s="23">
        <f>F159+F160</f>
        <v>12586.217615999996</v>
      </c>
      <c r="G169" s="12" t="s">
        <v>167</v>
      </c>
    </row>
    <row r="170" spans="5:35" x14ac:dyDescent="0.3">
      <c r="E170" s="12" t="s">
        <v>171</v>
      </c>
      <c r="F170" s="23">
        <f>F161+F162</f>
        <v>12775.010880239995</v>
      </c>
      <c r="G170" s="12" t="s">
        <v>167</v>
      </c>
    </row>
    <row r="171" spans="5:35" x14ac:dyDescent="0.3">
      <c r="E171" s="12" t="s">
        <v>172</v>
      </c>
      <c r="F171" s="23">
        <f>F163+F164</f>
        <v>12966.636043443594</v>
      </c>
      <c r="G171" s="12" t="s">
        <v>167</v>
      </c>
    </row>
    <row r="173" spans="5:35" x14ac:dyDescent="0.3">
      <c r="E173" t="str">
        <f t="shared" ref="E173:E178" si="30">E59</f>
        <v>Year with no price rise</v>
      </c>
      <c r="J173">
        <f t="shared" ref="J173:AI173" si="31">J59</f>
        <v>0</v>
      </c>
      <c r="K173">
        <f t="shared" si="31"/>
        <v>1</v>
      </c>
      <c r="L173">
        <f t="shared" si="31"/>
        <v>1</v>
      </c>
      <c r="M173">
        <f t="shared" si="31"/>
        <v>1</v>
      </c>
      <c r="N173">
        <f t="shared" si="31"/>
        <v>1</v>
      </c>
      <c r="O173">
        <f t="shared" si="31"/>
        <v>1</v>
      </c>
      <c r="P173">
        <f t="shared" si="31"/>
        <v>0</v>
      </c>
      <c r="Q173">
        <f t="shared" si="31"/>
        <v>0</v>
      </c>
      <c r="R173">
        <f t="shared" si="31"/>
        <v>0</v>
      </c>
      <c r="S173">
        <f t="shared" si="31"/>
        <v>0</v>
      </c>
      <c r="T173">
        <f t="shared" si="31"/>
        <v>0</v>
      </c>
      <c r="U173">
        <f t="shared" si="31"/>
        <v>0</v>
      </c>
      <c r="V173">
        <f t="shared" si="31"/>
        <v>0</v>
      </c>
      <c r="W173">
        <f t="shared" si="31"/>
        <v>0</v>
      </c>
      <c r="X173">
        <f t="shared" si="31"/>
        <v>0</v>
      </c>
      <c r="Y173">
        <f t="shared" si="31"/>
        <v>0</v>
      </c>
      <c r="Z173">
        <f t="shared" si="31"/>
        <v>0</v>
      </c>
      <c r="AA173">
        <f t="shared" si="31"/>
        <v>0</v>
      </c>
      <c r="AB173">
        <f t="shared" si="31"/>
        <v>0</v>
      </c>
      <c r="AC173">
        <f t="shared" si="31"/>
        <v>0</v>
      </c>
      <c r="AD173">
        <f t="shared" si="31"/>
        <v>0</v>
      </c>
      <c r="AE173">
        <f t="shared" si="31"/>
        <v>0</v>
      </c>
      <c r="AF173">
        <f t="shared" si="31"/>
        <v>0</v>
      </c>
      <c r="AG173">
        <f t="shared" si="31"/>
        <v>0</v>
      </c>
      <c r="AH173">
        <f t="shared" si="31"/>
        <v>0</v>
      </c>
      <c r="AI173">
        <f t="shared" si="31"/>
        <v>0</v>
      </c>
    </row>
    <row r="174" spans="5:35" x14ac:dyDescent="0.3">
      <c r="E174" t="str">
        <f t="shared" si="30"/>
        <v>Years with first price rise</v>
      </c>
      <c r="J174">
        <f t="shared" ref="J174:AI174" si="32">J60</f>
        <v>0</v>
      </c>
      <c r="K174">
        <f t="shared" si="32"/>
        <v>0</v>
      </c>
      <c r="L174">
        <f t="shared" si="32"/>
        <v>0</v>
      </c>
      <c r="M174">
        <f t="shared" si="32"/>
        <v>0</v>
      </c>
      <c r="N174">
        <f t="shared" si="32"/>
        <v>0</v>
      </c>
      <c r="O174">
        <f t="shared" si="32"/>
        <v>0</v>
      </c>
      <c r="P174">
        <f t="shared" si="32"/>
        <v>1</v>
      </c>
      <c r="Q174">
        <f t="shared" si="32"/>
        <v>1</v>
      </c>
      <c r="R174">
        <f t="shared" si="32"/>
        <v>1</v>
      </c>
      <c r="S174">
        <f t="shared" si="32"/>
        <v>1</v>
      </c>
      <c r="T174">
        <f t="shared" si="32"/>
        <v>1</v>
      </c>
      <c r="U174">
        <f t="shared" si="32"/>
        <v>0</v>
      </c>
      <c r="V174">
        <f t="shared" si="32"/>
        <v>0</v>
      </c>
      <c r="W174">
        <f t="shared" si="32"/>
        <v>0</v>
      </c>
      <c r="X174">
        <f t="shared" si="32"/>
        <v>0</v>
      </c>
      <c r="Y174">
        <f t="shared" si="32"/>
        <v>0</v>
      </c>
      <c r="Z174">
        <f t="shared" si="32"/>
        <v>0</v>
      </c>
      <c r="AA174">
        <f t="shared" si="32"/>
        <v>0</v>
      </c>
      <c r="AB174">
        <f t="shared" si="32"/>
        <v>0</v>
      </c>
      <c r="AC174">
        <f t="shared" si="32"/>
        <v>0</v>
      </c>
      <c r="AD174">
        <f t="shared" si="32"/>
        <v>0</v>
      </c>
      <c r="AE174">
        <f t="shared" si="32"/>
        <v>0</v>
      </c>
      <c r="AF174">
        <f t="shared" si="32"/>
        <v>0</v>
      </c>
      <c r="AG174">
        <f t="shared" si="32"/>
        <v>0</v>
      </c>
      <c r="AH174">
        <f t="shared" si="32"/>
        <v>0</v>
      </c>
      <c r="AI174">
        <f t="shared" si="32"/>
        <v>0</v>
      </c>
    </row>
    <row r="175" spans="5:35" x14ac:dyDescent="0.3">
      <c r="E175" t="str">
        <f t="shared" si="30"/>
        <v>Years with second price rise</v>
      </c>
      <c r="J175">
        <f t="shared" ref="J175:AI175" si="33">J61</f>
        <v>0</v>
      </c>
      <c r="K175">
        <f t="shared" si="33"/>
        <v>0</v>
      </c>
      <c r="L175">
        <f t="shared" si="33"/>
        <v>0</v>
      </c>
      <c r="M175">
        <f t="shared" si="33"/>
        <v>0</v>
      </c>
      <c r="N175">
        <f t="shared" si="33"/>
        <v>0</v>
      </c>
      <c r="O175">
        <f t="shared" si="33"/>
        <v>0</v>
      </c>
      <c r="P175">
        <f t="shared" si="33"/>
        <v>0</v>
      </c>
      <c r="Q175">
        <f t="shared" si="33"/>
        <v>0</v>
      </c>
      <c r="R175">
        <f t="shared" si="33"/>
        <v>0</v>
      </c>
      <c r="S175">
        <f t="shared" si="33"/>
        <v>0</v>
      </c>
      <c r="T175">
        <f t="shared" si="33"/>
        <v>0</v>
      </c>
      <c r="U175">
        <f t="shared" si="33"/>
        <v>1</v>
      </c>
      <c r="V175">
        <f t="shared" si="33"/>
        <v>1</v>
      </c>
      <c r="W175">
        <f t="shared" si="33"/>
        <v>1</v>
      </c>
      <c r="X175">
        <f t="shared" si="33"/>
        <v>1</v>
      </c>
      <c r="Y175">
        <f t="shared" si="33"/>
        <v>1</v>
      </c>
      <c r="Z175">
        <f t="shared" si="33"/>
        <v>0</v>
      </c>
      <c r="AA175">
        <f t="shared" si="33"/>
        <v>0</v>
      </c>
      <c r="AB175">
        <f t="shared" si="33"/>
        <v>0</v>
      </c>
      <c r="AC175">
        <f t="shared" si="33"/>
        <v>0</v>
      </c>
      <c r="AD175">
        <f t="shared" si="33"/>
        <v>0</v>
      </c>
      <c r="AE175">
        <f t="shared" si="33"/>
        <v>0</v>
      </c>
      <c r="AF175">
        <f t="shared" si="33"/>
        <v>0</v>
      </c>
      <c r="AG175">
        <f t="shared" si="33"/>
        <v>0</v>
      </c>
      <c r="AH175">
        <f t="shared" si="33"/>
        <v>0</v>
      </c>
      <c r="AI175">
        <f t="shared" si="33"/>
        <v>0</v>
      </c>
    </row>
    <row r="176" spans="5:35" x14ac:dyDescent="0.3">
      <c r="E176" t="str">
        <f t="shared" si="30"/>
        <v>Years with third price rise</v>
      </c>
      <c r="J176">
        <f t="shared" ref="J176:AI176" si="34">J62</f>
        <v>0</v>
      </c>
      <c r="K176">
        <f t="shared" si="34"/>
        <v>0</v>
      </c>
      <c r="L176">
        <f t="shared" si="34"/>
        <v>0</v>
      </c>
      <c r="M176">
        <f t="shared" si="34"/>
        <v>0</v>
      </c>
      <c r="N176">
        <f t="shared" si="34"/>
        <v>0</v>
      </c>
      <c r="O176">
        <f t="shared" si="34"/>
        <v>0</v>
      </c>
      <c r="P176">
        <f t="shared" si="34"/>
        <v>0</v>
      </c>
      <c r="Q176">
        <f t="shared" si="34"/>
        <v>0</v>
      </c>
      <c r="R176">
        <f t="shared" si="34"/>
        <v>0</v>
      </c>
      <c r="S176">
        <f t="shared" si="34"/>
        <v>0</v>
      </c>
      <c r="T176">
        <f t="shared" si="34"/>
        <v>0</v>
      </c>
      <c r="U176">
        <f t="shared" si="34"/>
        <v>0</v>
      </c>
      <c r="V176">
        <f t="shared" si="34"/>
        <v>0</v>
      </c>
      <c r="W176">
        <f t="shared" si="34"/>
        <v>0</v>
      </c>
      <c r="X176">
        <f t="shared" si="34"/>
        <v>0</v>
      </c>
      <c r="Y176">
        <f t="shared" si="34"/>
        <v>0</v>
      </c>
      <c r="Z176">
        <f t="shared" si="34"/>
        <v>1</v>
      </c>
      <c r="AA176">
        <f t="shared" si="34"/>
        <v>1</v>
      </c>
      <c r="AB176">
        <f t="shared" si="34"/>
        <v>1</v>
      </c>
      <c r="AC176">
        <f t="shared" si="34"/>
        <v>1</v>
      </c>
      <c r="AD176">
        <f t="shared" si="34"/>
        <v>1</v>
      </c>
      <c r="AE176">
        <f t="shared" si="34"/>
        <v>0</v>
      </c>
      <c r="AF176">
        <f t="shared" si="34"/>
        <v>0</v>
      </c>
      <c r="AG176">
        <f t="shared" si="34"/>
        <v>0</v>
      </c>
      <c r="AH176">
        <f t="shared" si="34"/>
        <v>0</v>
      </c>
      <c r="AI176">
        <f t="shared" si="34"/>
        <v>0</v>
      </c>
    </row>
    <row r="177" spans="5:35" x14ac:dyDescent="0.3">
      <c r="E177" t="str">
        <f t="shared" si="30"/>
        <v>Years with fourth price rise</v>
      </c>
      <c r="J177">
        <f t="shared" ref="J177:AI177" si="35">J63</f>
        <v>0</v>
      </c>
      <c r="K177">
        <f t="shared" si="35"/>
        <v>0</v>
      </c>
      <c r="L177">
        <f t="shared" si="35"/>
        <v>0</v>
      </c>
      <c r="M177">
        <f t="shared" si="35"/>
        <v>0</v>
      </c>
      <c r="N177">
        <f t="shared" si="35"/>
        <v>0</v>
      </c>
      <c r="O177">
        <f t="shared" si="35"/>
        <v>0</v>
      </c>
      <c r="P177">
        <f t="shared" si="35"/>
        <v>0</v>
      </c>
      <c r="Q177">
        <f t="shared" si="35"/>
        <v>0</v>
      </c>
      <c r="R177">
        <f t="shared" si="35"/>
        <v>0</v>
      </c>
      <c r="S177">
        <f t="shared" si="35"/>
        <v>0</v>
      </c>
      <c r="T177">
        <f t="shared" si="35"/>
        <v>0</v>
      </c>
      <c r="U177">
        <f t="shared" si="35"/>
        <v>0</v>
      </c>
      <c r="V177">
        <f t="shared" si="35"/>
        <v>0</v>
      </c>
      <c r="W177">
        <f t="shared" si="35"/>
        <v>0</v>
      </c>
      <c r="X177">
        <f t="shared" si="35"/>
        <v>0</v>
      </c>
      <c r="Y177">
        <f t="shared" si="35"/>
        <v>0</v>
      </c>
      <c r="Z177">
        <f t="shared" si="35"/>
        <v>0</v>
      </c>
      <c r="AA177">
        <f t="shared" si="35"/>
        <v>0</v>
      </c>
      <c r="AB177">
        <f t="shared" si="35"/>
        <v>0</v>
      </c>
      <c r="AC177">
        <f t="shared" si="35"/>
        <v>0</v>
      </c>
      <c r="AD177">
        <f t="shared" si="35"/>
        <v>0</v>
      </c>
      <c r="AE177">
        <f t="shared" si="35"/>
        <v>1</v>
      </c>
      <c r="AF177">
        <f t="shared" si="35"/>
        <v>1</v>
      </c>
      <c r="AG177">
        <f t="shared" si="35"/>
        <v>1</v>
      </c>
      <c r="AH177">
        <f t="shared" si="35"/>
        <v>1</v>
      </c>
      <c r="AI177">
        <f t="shared" si="35"/>
        <v>1</v>
      </c>
    </row>
    <row r="178" spans="5:35" x14ac:dyDescent="0.3">
      <c r="E178" t="str">
        <f t="shared" si="30"/>
        <v>Years with fifth price rise</v>
      </c>
      <c r="J178">
        <f t="shared" ref="J178:AI178" si="36">J64</f>
        <v>0</v>
      </c>
      <c r="K178">
        <f t="shared" si="36"/>
        <v>0</v>
      </c>
      <c r="L178">
        <f t="shared" si="36"/>
        <v>0</v>
      </c>
      <c r="M178">
        <f t="shared" si="36"/>
        <v>0</v>
      </c>
      <c r="N178">
        <f t="shared" si="36"/>
        <v>0</v>
      </c>
      <c r="O178">
        <f t="shared" si="36"/>
        <v>0</v>
      </c>
      <c r="P178">
        <f t="shared" si="36"/>
        <v>0</v>
      </c>
      <c r="Q178">
        <f t="shared" si="36"/>
        <v>0</v>
      </c>
      <c r="R178">
        <f t="shared" si="36"/>
        <v>0</v>
      </c>
      <c r="S178">
        <f t="shared" si="36"/>
        <v>0</v>
      </c>
      <c r="T178">
        <f t="shared" si="36"/>
        <v>0</v>
      </c>
      <c r="U178">
        <f t="shared" si="36"/>
        <v>0</v>
      </c>
      <c r="V178">
        <f t="shared" si="36"/>
        <v>0</v>
      </c>
      <c r="W178">
        <f t="shared" si="36"/>
        <v>0</v>
      </c>
      <c r="X178">
        <f t="shared" si="36"/>
        <v>0</v>
      </c>
      <c r="Y178">
        <f t="shared" si="36"/>
        <v>0</v>
      </c>
      <c r="Z178">
        <f t="shared" si="36"/>
        <v>0</v>
      </c>
      <c r="AA178">
        <f t="shared" si="36"/>
        <v>0</v>
      </c>
      <c r="AB178">
        <f t="shared" si="36"/>
        <v>0</v>
      </c>
      <c r="AC178">
        <f t="shared" si="36"/>
        <v>0</v>
      </c>
      <c r="AD178">
        <f t="shared" si="36"/>
        <v>0</v>
      </c>
      <c r="AE178">
        <f t="shared" si="36"/>
        <v>0</v>
      </c>
      <c r="AF178">
        <f t="shared" si="36"/>
        <v>0</v>
      </c>
      <c r="AG178">
        <f t="shared" si="36"/>
        <v>0</v>
      </c>
      <c r="AH178">
        <f t="shared" si="36"/>
        <v>0</v>
      </c>
      <c r="AI178">
        <f t="shared" si="36"/>
        <v>0</v>
      </c>
    </row>
    <row r="180" spans="5:35" x14ac:dyDescent="0.3">
      <c r="E180" s="12" t="s">
        <v>126</v>
      </c>
      <c r="F180" s="10"/>
      <c r="G180" s="12" t="str">
        <f>$F$3&amp;"/year"</f>
        <v>£/year</v>
      </c>
      <c r="J180" s="24">
        <f>IF(J173=0,0,$F166)</f>
        <v>0</v>
      </c>
      <c r="K180" s="24">
        <f t="shared" ref="K180:AI180" si="37">IF(K173=0,0,$F166)</f>
        <v>12096</v>
      </c>
      <c r="L180" s="24">
        <f t="shared" si="37"/>
        <v>12096</v>
      </c>
      <c r="M180" s="24">
        <f t="shared" si="37"/>
        <v>12096</v>
      </c>
      <c r="N180" s="24">
        <f t="shared" si="37"/>
        <v>12096</v>
      </c>
      <c r="O180" s="24">
        <f t="shared" si="37"/>
        <v>12096</v>
      </c>
      <c r="P180" s="24">
        <f t="shared" si="37"/>
        <v>0</v>
      </c>
      <c r="Q180" s="24">
        <f t="shared" si="37"/>
        <v>0</v>
      </c>
      <c r="R180" s="24">
        <f t="shared" si="37"/>
        <v>0</v>
      </c>
      <c r="S180" s="24">
        <f t="shared" si="37"/>
        <v>0</v>
      </c>
      <c r="T180" s="24">
        <f t="shared" si="37"/>
        <v>0</v>
      </c>
      <c r="U180" s="24">
        <f t="shared" si="37"/>
        <v>0</v>
      </c>
      <c r="V180" s="24">
        <f t="shared" si="37"/>
        <v>0</v>
      </c>
      <c r="W180" s="24">
        <f t="shared" si="37"/>
        <v>0</v>
      </c>
      <c r="X180" s="24">
        <f t="shared" si="37"/>
        <v>0</v>
      </c>
      <c r="Y180" s="24">
        <f t="shared" si="37"/>
        <v>0</v>
      </c>
      <c r="Z180" s="24">
        <f t="shared" si="37"/>
        <v>0</v>
      </c>
      <c r="AA180" s="24">
        <f t="shared" si="37"/>
        <v>0</v>
      </c>
      <c r="AB180" s="24">
        <f t="shared" si="37"/>
        <v>0</v>
      </c>
      <c r="AC180" s="24">
        <f t="shared" si="37"/>
        <v>0</v>
      </c>
      <c r="AD180" s="24">
        <f t="shared" si="37"/>
        <v>0</v>
      </c>
      <c r="AE180" s="24">
        <f t="shared" si="37"/>
        <v>0</v>
      </c>
      <c r="AF180" s="24">
        <f t="shared" si="37"/>
        <v>0</v>
      </c>
      <c r="AG180" s="24">
        <f t="shared" si="37"/>
        <v>0</v>
      </c>
      <c r="AH180" s="24">
        <f t="shared" si="37"/>
        <v>0</v>
      </c>
      <c r="AI180" s="24">
        <f t="shared" si="37"/>
        <v>0</v>
      </c>
    </row>
    <row r="181" spans="5:35" x14ac:dyDescent="0.3">
      <c r="E181" s="12" t="s">
        <v>127</v>
      </c>
      <c r="F181" s="10"/>
      <c r="G181" s="12" t="str">
        <f t="shared" ref="G181:G186" si="38">$F$3&amp;"/year"</f>
        <v>£/year</v>
      </c>
      <c r="J181" s="24">
        <f t="shared" ref="J181:AI181" si="39">IF(J174=0,0,$F167)</f>
        <v>0</v>
      </c>
      <c r="K181" s="24">
        <f t="shared" si="39"/>
        <v>0</v>
      </c>
      <c r="L181" s="24">
        <f t="shared" si="39"/>
        <v>0</v>
      </c>
      <c r="M181" s="24">
        <f t="shared" si="39"/>
        <v>0</v>
      </c>
      <c r="N181" s="24">
        <f t="shared" si="39"/>
        <v>0</v>
      </c>
      <c r="O181" s="24">
        <f t="shared" si="39"/>
        <v>0</v>
      </c>
      <c r="P181" s="24">
        <f t="shared" si="39"/>
        <v>12216.96</v>
      </c>
      <c r="Q181" s="24">
        <f t="shared" si="39"/>
        <v>12216.96</v>
      </c>
      <c r="R181" s="24">
        <f t="shared" si="39"/>
        <v>12216.96</v>
      </c>
      <c r="S181" s="24">
        <f t="shared" si="39"/>
        <v>12216.96</v>
      </c>
      <c r="T181" s="24">
        <f t="shared" si="39"/>
        <v>12216.96</v>
      </c>
      <c r="U181" s="24">
        <f t="shared" si="39"/>
        <v>0</v>
      </c>
      <c r="V181" s="24">
        <f t="shared" si="39"/>
        <v>0</v>
      </c>
      <c r="W181" s="24">
        <f t="shared" si="39"/>
        <v>0</v>
      </c>
      <c r="X181" s="24">
        <f t="shared" si="39"/>
        <v>0</v>
      </c>
      <c r="Y181" s="24">
        <f t="shared" si="39"/>
        <v>0</v>
      </c>
      <c r="Z181" s="24">
        <f t="shared" si="39"/>
        <v>0</v>
      </c>
      <c r="AA181" s="24">
        <f t="shared" si="39"/>
        <v>0</v>
      </c>
      <c r="AB181" s="24">
        <f t="shared" si="39"/>
        <v>0</v>
      </c>
      <c r="AC181" s="24">
        <f t="shared" si="39"/>
        <v>0</v>
      </c>
      <c r="AD181" s="24">
        <f t="shared" si="39"/>
        <v>0</v>
      </c>
      <c r="AE181" s="24">
        <f t="shared" si="39"/>
        <v>0</v>
      </c>
      <c r="AF181" s="24">
        <f t="shared" si="39"/>
        <v>0</v>
      </c>
      <c r="AG181" s="24">
        <f t="shared" si="39"/>
        <v>0</v>
      </c>
      <c r="AH181" s="24">
        <f t="shared" si="39"/>
        <v>0</v>
      </c>
      <c r="AI181" s="24">
        <f t="shared" si="39"/>
        <v>0</v>
      </c>
    </row>
    <row r="182" spans="5:35" x14ac:dyDescent="0.3">
      <c r="E182" s="12" t="s">
        <v>128</v>
      </c>
      <c r="F182" s="10"/>
      <c r="G182" s="12" t="str">
        <f t="shared" si="38"/>
        <v>£/year</v>
      </c>
      <c r="J182" s="24">
        <f t="shared" ref="J182:AI182" si="40">IF(J175=0,0,$F168)</f>
        <v>0</v>
      </c>
      <c r="K182" s="24">
        <f t="shared" si="40"/>
        <v>0</v>
      </c>
      <c r="L182" s="24">
        <f t="shared" si="40"/>
        <v>0</v>
      </c>
      <c r="M182" s="24">
        <f t="shared" si="40"/>
        <v>0</v>
      </c>
      <c r="N182" s="24">
        <f t="shared" si="40"/>
        <v>0</v>
      </c>
      <c r="O182" s="24">
        <f t="shared" si="40"/>
        <v>0</v>
      </c>
      <c r="P182" s="24">
        <f t="shared" si="40"/>
        <v>0</v>
      </c>
      <c r="Q182" s="24">
        <f t="shared" si="40"/>
        <v>0</v>
      </c>
      <c r="R182" s="24">
        <f t="shared" si="40"/>
        <v>0</v>
      </c>
      <c r="S182" s="24">
        <f t="shared" si="40"/>
        <v>0</v>
      </c>
      <c r="T182" s="24">
        <f t="shared" si="40"/>
        <v>0</v>
      </c>
      <c r="U182" s="24">
        <f t="shared" si="40"/>
        <v>12400.214399999997</v>
      </c>
      <c r="V182" s="24">
        <f t="shared" si="40"/>
        <v>12400.214399999997</v>
      </c>
      <c r="W182" s="24">
        <f t="shared" si="40"/>
        <v>12400.214399999997</v>
      </c>
      <c r="X182" s="24">
        <f t="shared" si="40"/>
        <v>12400.214399999997</v>
      </c>
      <c r="Y182" s="24">
        <f t="shared" si="40"/>
        <v>12400.214399999997</v>
      </c>
      <c r="Z182" s="24">
        <f t="shared" si="40"/>
        <v>0</v>
      </c>
      <c r="AA182" s="24">
        <f t="shared" si="40"/>
        <v>0</v>
      </c>
      <c r="AB182" s="24">
        <f t="shared" si="40"/>
        <v>0</v>
      </c>
      <c r="AC182" s="24">
        <f t="shared" si="40"/>
        <v>0</v>
      </c>
      <c r="AD182" s="24">
        <f t="shared" si="40"/>
        <v>0</v>
      </c>
      <c r="AE182" s="24">
        <f t="shared" si="40"/>
        <v>0</v>
      </c>
      <c r="AF182" s="24">
        <f t="shared" si="40"/>
        <v>0</v>
      </c>
      <c r="AG182" s="24">
        <f t="shared" si="40"/>
        <v>0</v>
      </c>
      <c r="AH182" s="24">
        <f t="shared" si="40"/>
        <v>0</v>
      </c>
      <c r="AI182" s="24">
        <f t="shared" si="40"/>
        <v>0</v>
      </c>
    </row>
    <row r="183" spans="5:35" x14ac:dyDescent="0.3">
      <c r="E183" s="12" t="s">
        <v>129</v>
      </c>
      <c r="F183" s="10"/>
      <c r="G183" s="12" t="str">
        <f t="shared" si="38"/>
        <v>£/year</v>
      </c>
      <c r="J183" s="24">
        <f t="shared" ref="J183:AI183" si="41">IF(J176=0,0,$F169)</f>
        <v>0</v>
      </c>
      <c r="K183" s="24">
        <f t="shared" si="41"/>
        <v>0</v>
      </c>
      <c r="L183" s="24">
        <f t="shared" si="41"/>
        <v>0</v>
      </c>
      <c r="M183" s="24">
        <f t="shared" si="41"/>
        <v>0</v>
      </c>
      <c r="N183" s="24">
        <f t="shared" si="41"/>
        <v>0</v>
      </c>
      <c r="O183" s="24">
        <f t="shared" si="41"/>
        <v>0</v>
      </c>
      <c r="P183" s="24">
        <f t="shared" si="41"/>
        <v>0</v>
      </c>
      <c r="Q183" s="24">
        <f t="shared" si="41"/>
        <v>0</v>
      </c>
      <c r="R183" s="24">
        <f t="shared" si="41"/>
        <v>0</v>
      </c>
      <c r="S183" s="24">
        <f t="shared" si="41"/>
        <v>0</v>
      </c>
      <c r="T183" s="24">
        <f t="shared" si="41"/>
        <v>0</v>
      </c>
      <c r="U183" s="24">
        <f t="shared" si="41"/>
        <v>0</v>
      </c>
      <c r="V183" s="24">
        <f t="shared" si="41"/>
        <v>0</v>
      </c>
      <c r="W183" s="24">
        <f t="shared" si="41"/>
        <v>0</v>
      </c>
      <c r="X183" s="24">
        <f t="shared" si="41"/>
        <v>0</v>
      </c>
      <c r="Y183" s="24">
        <f t="shared" si="41"/>
        <v>0</v>
      </c>
      <c r="Z183" s="24">
        <f t="shared" si="41"/>
        <v>12586.217615999996</v>
      </c>
      <c r="AA183" s="24">
        <f t="shared" si="41"/>
        <v>12586.217615999996</v>
      </c>
      <c r="AB183" s="24">
        <f t="shared" si="41"/>
        <v>12586.217615999996</v>
      </c>
      <c r="AC183" s="24">
        <f t="shared" si="41"/>
        <v>12586.217615999996</v>
      </c>
      <c r="AD183" s="24">
        <f t="shared" si="41"/>
        <v>12586.217615999996</v>
      </c>
      <c r="AE183" s="24">
        <f t="shared" si="41"/>
        <v>0</v>
      </c>
      <c r="AF183" s="24">
        <f t="shared" si="41"/>
        <v>0</v>
      </c>
      <c r="AG183" s="24">
        <f t="shared" si="41"/>
        <v>0</v>
      </c>
      <c r="AH183" s="24">
        <f t="shared" si="41"/>
        <v>0</v>
      </c>
      <c r="AI183" s="24">
        <f t="shared" si="41"/>
        <v>0</v>
      </c>
    </row>
    <row r="184" spans="5:35" x14ac:dyDescent="0.3">
      <c r="E184" s="12" t="s">
        <v>130</v>
      </c>
      <c r="F184" s="10"/>
      <c r="G184" s="12" t="str">
        <f t="shared" si="38"/>
        <v>£/year</v>
      </c>
      <c r="J184" s="24">
        <f t="shared" ref="J184:AI184" si="42">IF(J177=0,0,$F170)</f>
        <v>0</v>
      </c>
      <c r="K184" s="24">
        <f t="shared" si="42"/>
        <v>0</v>
      </c>
      <c r="L184" s="24">
        <f t="shared" si="42"/>
        <v>0</v>
      </c>
      <c r="M184" s="24">
        <f t="shared" si="42"/>
        <v>0</v>
      </c>
      <c r="N184" s="24">
        <f t="shared" si="42"/>
        <v>0</v>
      </c>
      <c r="O184" s="24">
        <f t="shared" si="42"/>
        <v>0</v>
      </c>
      <c r="P184" s="24">
        <f t="shared" si="42"/>
        <v>0</v>
      </c>
      <c r="Q184" s="24">
        <f t="shared" si="42"/>
        <v>0</v>
      </c>
      <c r="R184" s="24">
        <f t="shared" si="42"/>
        <v>0</v>
      </c>
      <c r="S184" s="24">
        <f t="shared" si="42"/>
        <v>0</v>
      </c>
      <c r="T184" s="24">
        <f t="shared" si="42"/>
        <v>0</v>
      </c>
      <c r="U184" s="24">
        <f t="shared" si="42"/>
        <v>0</v>
      </c>
      <c r="V184" s="24">
        <f t="shared" si="42"/>
        <v>0</v>
      </c>
      <c r="W184" s="24">
        <f t="shared" si="42"/>
        <v>0</v>
      </c>
      <c r="X184" s="24">
        <f t="shared" si="42"/>
        <v>0</v>
      </c>
      <c r="Y184" s="24">
        <f t="shared" si="42"/>
        <v>0</v>
      </c>
      <c r="Z184" s="24">
        <f t="shared" si="42"/>
        <v>0</v>
      </c>
      <c r="AA184" s="24">
        <f t="shared" si="42"/>
        <v>0</v>
      </c>
      <c r="AB184" s="24">
        <f t="shared" si="42"/>
        <v>0</v>
      </c>
      <c r="AC184" s="24">
        <f t="shared" si="42"/>
        <v>0</v>
      </c>
      <c r="AD184" s="24">
        <f t="shared" si="42"/>
        <v>0</v>
      </c>
      <c r="AE184" s="24">
        <f t="shared" si="42"/>
        <v>12775.010880239995</v>
      </c>
      <c r="AF184" s="24">
        <f t="shared" si="42"/>
        <v>12775.010880239995</v>
      </c>
      <c r="AG184" s="24">
        <f t="shared" si="42"/>
        <v>12775.010880239995</v>
      </c>
      <c r="AH184" s="24">
        <f t="shared" si="42"/>
        <v>12775.010880239995</v>
      </c>
      <c r="AI184" s="24">
        <f t="shared" si="42"/>
        <v>12775.010880239995</v>
      </c>
    </row>
    <row r="185" spans="5:35" x14ac:dyDescent="0.3">
      <c r="E185" s="12" t="s">
        <v>131</v>
      </c>
      <c r="F185" s="10"/>
      <c r="G185" s="12" t="str">
        <f t="shared" si="38"/>
        <v>£/year</v>
      </c>
      <c r="J185" s="24">
        <f t="shared" ref="J185:AI185" si="43">IF(J178=0,0,$F171)</f>
        <v>0</v>
      </c>
      <c r="K185" s="24">
        <f t="shared" si="43"/>
        <v>0</v>
      </c>
      <c r="L185" s="24">
        <f t="shared" si="43"/>
        <v>0</v>
      </c>
      <c r="M185" s="24">
        <f t="shared" si="43"/>
        <v>0</v>
      </c>
      <c r="N185" s="24">
        <f t="shared" si="43"/>
        <v>0</v>
      </c>
      <c r="O185" s="24">
        <f t="shared" si="43"/>
        <v>0</v>
      </c>
      <c r="P185" s="24">
        <f t="shared" si="43"/>
        <v>0</v>
      </c>
      <c r="Q185" s="24">
        <f t="shared" si="43"/>
        <v>0</v>
      </c>
      <c r="R185" s="24">
        <f t="shared" si="43"/>
        <v>0</v>
      </c>
      <c r="S185" s="24">
        <f t="shared" si="43"/>
        <v>0</v>
      </c>
      <c r="T185" s="24">
        <f t="shared" si="43"/>
        <v>0</v>
      </c>
      <c r="U185" s="24">
        <f t="shared" si="43"/>
        <v>0</v>
      </c>
      <c r="V185" s="24">
        <f t="shared" si="43"/>
        <v>0</v>
      </c>
      <c r="W185" s="24">
        <f t="shared" si="43"/>
        <v>0</v>
      </c>
      <c r="X185" s="24">
        <f t="shared" si="43"/>
        <v>0</v>
      </c>
      <c r="Y185" s="24">
        <f t="shared" si="43"/>
        <v>0</v>
      </c>
      <c r="Z185" s="24">
        <f t="shared" si="43"/>
        <v>0</v>
      </c>
      <c r="AA185" s="24">
        <f t="shared" si="43"/>
        <v>0</v>
      </c>
      <c r="AB185" s="24">
        <f t="shared" si="43"/>
        <v>0</v>
      </c>
      <c r="AC185" s="24">
        <f t="shared" si="43"/>
        <v>0</v>
      </c>
      <c r="AD185" s="24">
        <f t="shared" si="43"/>
        <v>0</v>
      </c>
      <c r="AE185" s="24">
        <f t="shared" si="43"/>
        <v>0</v>
      </c>
      <c r="AF185" s="24">
        <f t="shared" si="43"/>
        <v>0</v>
      </c>
      <c r="AG185" s="24">
        <f t="shared" si="43"/>
        <v>0</v>
      </c>
      <c r="AH185" s="24">
        <f t="shared" si="43"/>
        <v>0</v>
      </c>
      <c r="AI185" s="24">
        <f t="shared" si="43"/>
        <v>0</v>
      </c>
    </row>
    <row r="186" spans="5:35" x14ac:dyDescent="0.3">
      <c r="E186" s="12" t="s">
        <v>102</v>
      </c>
      <c r="G186" s="12" t="str">
        <f t="shared" si="38"/>
        <v>£/year</v>
      </c>
      <c r="J186" s="26">
        <f>SUM(J180:J185)</f>
        <v>0</v>
      </c>
      <c r="K186" s="26">
        <f t="shared" ref="K186:AI186" si="44">SUM(K180:K185)</f>
        <v>12096</v>
      </c>
      <c r="L186" s="26">
        <f t="shared" si="44"/>
        <v>12096</v>
      </c>
      <c r="M186" s="26">
        <f t="shared" si="44"/>
        <v>12096</v>
      </c>
      <c r="N186" s="26">
        <f t="shared" si="44"/>
        <v>12096</v>
      </c>
      <c r="O186" s="26">
        <f t="shared" si="44"/>
        <v>12096</v>
      </c>
      <c r="P186" s="26">
        <f t="shared" si="44"/>
        <v>12216.96</v>
      </c>
      <c r="Q186" s="26">
        <f t="shared" si="44"/>
        <v>12216.96</v>
      </c>
      <c r="R186" s="26">
        <f t="shared" si="44"/>
        <v>12216.96</v>
      </c>
      <c r="S186" s="26">
        <f t="shared" si="44"/>
        <v>12216.96</v>
      </c>
      <c r="T186" s="26">
        <f t="shared" si="44"/>
        <v>12216.96</v>
      </c>
      <c r="U186" s="26">
        <f t="shared" si="44"/>
        <v>12400.214399999997</v>
      </c>
      <c r="V186" s="26">
        <f t="shared" si="44"/>
        <v>12400.214399999997</v>
      </c>
      <c r="W186" s="26">
        <f t="shared" si="44"/>
        <v>12400.214399999997</v>
      </c>
      <c r="X186" s="26">
        <f t="shared" si="44"/>
        <v>12400.214399999997</v>
      </c>
      <c r="Y186" s="26">
        <f t="shared" si="44"/>
        <v>12400.214399999997</v>
      </c>
      <c r="Z186" s="26">
        <f t="shared" si="44"/>
        <v>12586.217615999996</v>
      </c>
      <c r="AA186" s="26">
        <f t="shared" si="44"/>
        <v>12586.217615999996</v>
      </c>
      <c r="AB186" s="26">
        <f t="shared" si="44"/>
        <v>12586.217615999996</v>
      </c>
      <c r="AC186" s="26">
        <f t="shared" si="44"/>
        <v>12586.217615999996</v>
      </c>
      <c r="AD186" s="26">
        <f t="shared" si="44"/>
        <v>12586.217615999996</v>
      </c>
      <c r="AE186" s="26">
        <f t="shared" si="44"/>
        <v>12775.010880239995</v>
      </c>
      <c r="AF186" s="26">
        <f t="shared" si="44"/>
        <v>12775.010880239995</v>
      </c>
      <c r="AG186" s="26">
        <f t="shared" si="44"/>
        <v>12775.010880239995</v>
      </c>
      <c r="AH186" s="26">
        <f t="shared" si="44"/>
        <v>12775.010880239995</v>
      </c>
      <c r="AI186" s="26">
        <f t="shared" si="44"/>
        <v>12775.010880239995</v>
      </c>
    </row>
    <row r="188" spans="5:35" x14ac:dyDescent="0.3">
      <c r="E188" t="str">
        <f>'Revenue &amp; Electricity Consump'!E47</f>
        <v>Option 3 - Per kWh consumed for residentials</v>
      </c>
      <c r="F188">
        <f>'Revenue &amp; Electricity Consump'!F47</f>
        <v>0.15</v>
      </c>
      <c r="G188" t="str">
        <f>'Revenue &amp; Electricity Consump'!G47</f>
        <v>£/kWh</v>
      </c>
    </row>
    <row r="189" spans="5:35" x14ac:dyDescent="0.3">
      <c r="E189" t="str">
        <f>'Revenue &amp; Electricity Consump'!E48</f>
        <v>Option 3 - Per kWh consumed for commercial</v>
      </c>
      <c r="F189">
        <f>'Revenue &amp; Electricity Consump'!F48</f>
        <v>0.15</v>
      </c>
      <c r="G189" t="str">
        <f>'Revenue &amp; Electricity Consump'!G48</f>
        <v>£/kWh</v>
      </c>
    </row>
    <row r="191" spans="5:35" x14ac:dyDescent="0.3">
      <c r="E191" s="12" t="s">
        <v>140</v>
      </c>
      <c r="F191">
        <f>F188</f>
        <v>0.15</v>
      </c>
      <c r="G191" t="str">
        <f>$G$188</f>
        <v>£/kWh</v>
      </c>
    </row>
    <row r="192" spans="5:35" x14ac:dyDescent="0.3">
      <c r="E192" s="12" t="s">
        <v>141</v>
      </c>
      <c r="F192">
        <f>F189</f>
        <v>0.15</v>
      </c>
      <c r="G192" t="str">
        <f>$G$188</f>
        <v>£/kWh</v>
      </c>
    </row>
    <row r="193" spans="5:35" x14ac:dyDescent="0.3">
      <c r="E193" s="12" t="s">
        <v>142</v>
      </c>
      <c r="F193" s="21">
        <f>F191*(1+$F$52)</f>
        <v>0.1515</v>
      </c>
      <c r="G193" s="12" t="s">
        <v>152</v>
      </c>
    </row>
    <row r="194" spans="5:35" x14ac:dyDescent="0.3">
      <c r="E194" s="12" t="s">
        <v>147</v>
      </c>
      <c r="F194" s="21">
        <f>F192*(1+$F$52)</f>
        <v>0.1515</v>
      </c>
      <c r="G194" s="12" t="s">
        <v>152</v>
      </c>
    </row>
    <row r="195" spans="5:35" x14ac:dyDescent="0.3">
      <c r="E195" s="12" t="s">
        <v>143</v>
      </c>
      <c r="F195" s="21">
        <f>F193*(1+$F$53)</f>
        <v>0.15377249999999998</v>
      </c>
      <c r="G195" s="12" t="s">
        <v>152</v>
      </c>
    </row>
    <row r="196" spans="5:35" x14ac:dyDescent="0.3">
      <c r="E196" s="12" t="s">
        <v>148</v>
      </c>
      <c r="F196" s="21">
        <f>F194*(1+$F$53)</f>
        <v>0.15377249999999998</v>
      </c>
      <c r="G196" s="12" t="s">
        <v>152</v>
      </c>
    </row>
    <row r="197" spans="5:35" x14ac:dyDescent="0.3">
      <c r="E197" s="12" t="s">
        <v>144</v>
      </c>
      <c r="F197" s="21">
        <f>F195*(1+$F$54)</f>
        <v>0.15607908749999996</v>
      </c>
      <c r="G197" s="12" t="s">
        <v>152</v>
      </c>
    </row>
    <row r="198" spans="5:35" x14ac:dyDescent="0.3">
      <c r="E198" s="12" t="s">
        <v>149</v>
      </c>
      <c r="F198" s="21">
        <f>F196*(1+$F$54)</f>
        <v>0.15607908749999996</v>
      </c>
      <c r="G198" s="12" t="s">
        <v>152</v>
      </c>
    </row>
    <row r="199" spans="5:35" x14ac:dyDescent="0.3">
      <c r="E199" s="12" t="s">
        <v>145</v>
      </c>
      <c r="F199" s="21">
        <f>F197*(1+$F$55)</f>
        <v>0.15842027381249996</v>
      </c>
      <c r="G199" s="12" t="s">
        <v>152</v>
      </c>
    </row>
    <row r="200" spans="5:35" x14ac:dyDescent="0.3">
      <c r="E200" s="12" t="s">
        <v>150</v>
      </c>
      <c r="F200" s="21">
        <f>F198*(1+$F$55)</f>
        <v>0.15842027381249996</v>
      </c>
      <c r="G200" s="12" t="s">
        <v>152</v>
      </c>
    </row>
    <row r="201" spans="5:35" x14ac:dyDescent="0.3">
      <c r="E201" s="12" t="s">
        <v>146</v>
      </c>
      <c r="F201" s="21">
        <f>F199*(1+$F$56)</f>
        <v>0.16079657791968743</v>
      </c>
      <c r="G201" s="12" t="s">
        <v>152</v>
      </c>
    </row>
    <row r="202" spans="5:35" x14ac:dyDescent="0.3">
      <c r="E202" s="12" t="s">
        <v>151</v>
      </c>
      <c r="F202" s="21">
        <f>F200*(1+$F$56)</f>
        <v>0.16079657791968743</v>
      </c>
      <c r="G202" s="12" t="s">
        <v>152</v>
      </c>
    </row>
    <row r="204" spans="5:35" x14ac:dyDescent="0.3">
      <c r="E204" s="10" t="str">
        <f>Energy!E48</f>
        <v>Yearly energy consumption residential</v>
      </c>
      <c r="F204" s="10"/>
      <c r="G204" s="10" t="str">
        <f>Energy!G48</f>
        <v>kWh/year</v>
      </c>
      <c r="H204" s="10"/>
      <c r="I204" s="10"/>
      <c r="J204" s="22">
        <f>Energy!J48</f>
        <v>0</v>
      </c>
      <c r="K204" s="22">
        <f>Energy!K48</f>
        <v>36000</v>
      </c>
      <c r="L204" s="22">
        <f>Energy!L48</f>
        <v>36360</v>
      </c>
      <c r="M204" s="22">
        <f>Energy!M48</f>
        <v>36723.599999999999</v>
      </c>
      <c r="N204" s="22">
        <f>Energy!N48</f>
        <v>37090.835999999996</v>
      </c>
      <c r="O204" s="22">
        <f>Energy!O48</f>
        <v>37461.744359999997</v>
      </c>
      <c r="P204" s="22">
        <f>Energy!P48</f>
        <v>37836.361803599997</v>
      </c>
      <c r="Q204" s="22">
        <f>Energy!Q48</f>
        <v>38214.725421635994</v>
      </c>
      <c r="R204" s="22">
        <f>Energy!R48</f>
        <v>38596.872675852355</v>
      </c>
      <c r="S204" s="22">
        <f>Energy!S48</f>
        <v>38982.84140261088</v>
      </c>
      <c r="T204" s="22">
        <f>Energy!T48</f>
        <v>39372.66981663699</v>
      </c>
      <c r="U204" s="22">
        <f>Energy!U48</f>
        <v>39766.39651480336</v>
      </c>
      <c r="V204" s="22">
        <f>Energy!V48</f>
        <v>40164.060479951397</v>
      </c>
      <c r="W204" s="22">
        <f>Energy!W48</f>
        <v>40565.701084750908</v>
      </c>
      <c r="X204" s="22">
        <f>Energy!X48</f>
        <v>40971.358095598414</v>
      </c>
      <c r="Y204" s="22">
        <f>Energy!Y48</f>
        <v>41381.071676554398</v>
      </c>
      <c r="Z204" s="22">
        <f>Energy!Z48</f>
        <v>41794.882393319946</v>
      </c>
      <c r="AA204" s="22">
        <f>Energy!AA48</f>
        <v>42212.831217253144</v>
      </c>
      <c r="AB204" s="22">
        <f>Energy!AB48</f>
        <v>42634.959529425672</v>
      </c>
      <c r="AC204" s="22">
        <f>Energy!AC48</f>
        <v>43061.309124719926</v>
      </c>
      <c r="AD204" s="22">
        <f>Energy!AD48</f>
        <v>43491.922215967126</v>
      </c>
      <c r="AE204" s="22">
        <f>Energy!AE48</f>
        <v>43926.841438126801</v>
      </c>
      <c r="AF204" s="22">
        <f>Energy!AF48</f>
        <v>44366.109852508067</v>
      </c>
      <c r="AG204" s="22">
        <f>Energy!AG48</f>
        <v>44809.770951033148</v>
      </c>
      <c r="AH204" s="22">
        <f>Energy!AH48</f>
        <v>45257.868660543478</v>
      </c>
      <c r="AI204" s="22">
        <f>Energy!AI48</f>
        <v>45710.447347148911</v>
      </c>
    </row>
    <row r="205" spans="5:35" x14ac:dyDescent="0.3">
      <c r="E205" s="10" t="str">
        <f>Energy!E49</f>
        <v>Yearly energy consumption commercial</v>
      </c>
      <c r="F205" s="10"/>
      <c r="G205" s="10" t="str">
        <f>Energy!G49</f>
        <v>kWh/year</v>
      </c>
      <c r="H205" s="10"/>
      <c r="I205" s="10"/>
      <c r="J205" s="22">
        <f>Energy!J49</f>
        <v>0</v>
      </c>
      <c r="K205" s="22">
        <f>Energy!K49</f>
        <v>14400</v>
      </c>
      <c r="L205" s="22">
        <f>Energy!L49</f>
        <v>14544</v>
      </c>
      <c r="M205" s="22">
        <f>Energy!M49</f>
        <v>14689.44</v>
      </c>
      <c r="N205" s="22">
        <f>Energy!N49</f>
        <v>14836.334400000002</v>
      </c>
      <c r="O205" s="22">
        <f>Energy!O49</f>
        <v>14984.697744000001</v>
      </c>
      <c r="P205" s="22">
        <f>Energy!P49</f>
        <v>15134.544721440001</v>
      </c>
      <c r="Q205" s="22">
        <f>Energy!Q49</f>
        <v>15285.890168654401</v>
      </c>
      <c r="R205" s="22">
        <f>Energy!R49</f>
        <v>15438.749070340946</v>
      </c>
      <c r="S205" s="22">
        <f>Energy!S49</f>
        <v>15593.136561044355</v>
      </c>
      <c r="T205" s="22">
        <f>Energy!T49</f>
        <v>15749.0679266548</v>
      </c>
      <c r="U205" s="22">
        <f>Energy!U49</f>
        <v>15906.558605921347</v>
      </c>
      <c r="V205" s="22">
        <f>Energy!V49</f>
        <v>16065.624191980562</v>
      </c>
      <c r="W205" s="22">
        <f>Energy!W49</f>
        <v>16226.280433900367</v>
      </c>
      <c r="X205" s="22">
        <f>Energy!X49</f>
        <v>16388.54323823937</v>
      </c>
      <c r="Y205" s="22">
        <f>Energy!Y49</f>
        <v>16552.428670621764</v>
      </c>
      <c r="Z205" s="22">
        <f>Energy!Z49</f>
        <v>16717.952957327983</v>
      </c>
      <c r="AA205" s="22">
        <f>Energy!AA49</f>
        <v>16885.132486901264</v>
      </c>
      <c r="AB205" s="22">
        <f>Energy!AB49</f>
        <v>17053.983811770278</v>
      </c>
      <c r="AC205" s="22">
        <f>Energy!AC49</f>
        <v>17224.523649887982</v>
      </c>
      <c r="AD205" s="22">
        <f>Energy!AD49</f>
        <v>17396.768886386861</v>
      </c>
      <c r="AE205" s="22">
        <f>Energy!AE49</f>
        <v>17570.736575250728</v>
      </c>
      <c r="AF205" s="22">
        <f>Energy!AF49</f>
        <v>17746.443941003236</v>
      </c>
      <c r="AG205" s="22">
        <f>Energy!AG49</f>
        <v>17923.908380413268</v>
      </c>
      <c r="AH205" s="22">
        <f>Energy!AH49</f>
        <v>18103.1474642174</v>
      </c>
      <c r="AI205" s="22">
        <f>Energy!AI49</f>
        <v>18284.178938859575</v>
      </c>
    </row>
    <row r="206" spans="5:35" x14ac:dyDescent="0.3">
      <c r="E206" t="str">
        <f t="shared" ref="E206:G207" si="45">E147</f>
        <v>First yearly consumption covered by fixed costs - residential</v>
      </c>
      <c r="F206" s="24">
        <f t="shared" si="45"/>
        <v>4320</v>
      </c>
      <c r="G206" t="str">
        <f t="shared" si="45"/>
        <v>kWh/year</v>
      </c>
    </row>
    <row r="207" spans="5:35" x14ac:dyDescent="0.3">
      <c r="E207" t="str">
        <f t="shared" si="45"/>
        <v>First year consumption covered by fixed costs - commercial</v>
      </c>
      <c r="F207" s="24">
        <f t="shared" si="45"/>
        <v>1728</v>
      </c>
      <c r="G207" t="str">
        <f t="shared" si="45"/>
        <v>kWh/year</v>
      </c>
    </row>
    <row r="208" spans="5:35" x14ac:dyDescent="0.3">
      <c r="E208" s="12" t="s">
        <v>180</v>
      </c>
      <c r="F208" s="16"/>
      <c r="G208" t="s">
        <v>114</v>
      </c>
      <c r="J208">
        <v>0</v>
      </c>
      <c r="K208" s="26">
        <f>IF(K204-$F$206&gt;0,K204-$F$206,0)</f>
        <v>31680</v>
      </c>
      <c r="L208" s="26">
        <f t="shared" ref="L208:AI208" si="46">IF(L204-$F$206&gt;0,L204-$F$206,0)</f>
        <v>32040</v>
      </c>
      <c r="M208" s="26">
        <f t="shared" si="46"/>
        <v>32403.599999999999</v>
      </c>
      <c r="N208" s="26">
        <f t="shared" si="46"/>
        <v>32770.835999999996</v>
      </c>
      <c r="O208" s="26">
        <f t="shared" si="46"/>
        <v>33141.744359999997</v>
      </c>
      <c r="P208" s="26">
        <f t="shared" si="46"/>
        <v>33516.361803599997</v>
      </c>
      <c r="Q208" s="26">
        <f t="shared" si="46"/>
        <v>33894.725421635994</v>
      </c>
      <c r="R208" s="26">
        <f t="shared" si="46"/>
        <v>34276.872675852355</v>
      </c>
      <c r="S208" s="26">
        <f t="shared" si="46"/>
        <v>34662.84140261088</v>
      </c>
      <c r="T208" s="26">
        <f t="shared" si="46"/>
        <v>35052.66981663699</v>
      </c>
      <c r="U208" s="26">
        <f t="shared" si="46"/>
        <v>35446.39651480336</v>
      </c>
      <c r="V208" s="26">
        <f t="shared" si="46"/>
        <v>35844.060479951397</v>
      </c>
      <c r="W208" s="26">
        <f t="shared" si="46"/>
        <v>36245.701084750908</v>
      </c>
      <c r="X208" s="26">
        <f t="shared" si="46"/>
        <v>36651.358095598414</v>
      </c>
      <c r="Y208" s="26">
        <f t="shared" si="46"/>
        <v>37061.071676554398</v>
      </c>
      <c r="Z208" s="26">
        <f t="shared" si="46"/>
        <v>37474.882393319946</v>
      </c>
      <c r="AA208" s="26">
        <f t="shared" si="46"/>
        <v>37892.831217253144</v>
      </c>
      <c r="AB208" s="26">
        <f t="shared" si="46"/>
        <v>38314.959529425672</v>
      </c>
      <c r="AC208" s="26">
        <f t="shared" si="46"/>
        <v>38741.309124719926</v>
      </c>
      <c r="AD208" s="26">
        <f t="shared" si="46"/>
        <v>39171.922215967126</v>
      </c>
      <c r="AE208" s="26">
        <f t="shared" si="46"/>
        <v>39606.841438126801</v>
      </c>
      <c r="AF208" s="26">
        <f t="shared" si="46"/>
        <v>40046.109852508067</v>
      </c>
      <c r="AG208" s="26">
        <f t="shared" si="46"/>
        <v>40489.770951033148</v>
      </c>
      <c r="AH208" s="26">
        <f t="shared" si="46"/>
        <v>40937.868660543478</v>
      </c>
      <c r="AI208" s="26">
        <f t="shared" si="46"/>
        <v>41390.447347148911</v>
      </c>
    </row>
    <row r="209" spans="5:35" x14ac:dyDescent="0.3">
      <c r="E209" s="12" t="s">
        <v>181</v>
      </c>
      <c r="F209" s="16"/>
      <c r="G209" t="s">
        <v>114</v>
      </c>
      <c r="J209">
        <v>0</v>
      </c>
      <c r="K209" s="26">
        <f>IF(K205-$F$207&gt;0,K205-$F$207,0)</f>
        <v>12672</v>
      </c>
      <c r="L209" s="26">
        <f t="shared" ref="L209:AI209" si="47">IF(L205-$F$207&gt;0,L205-$F$207,0)</f>
        <v>12816</v>
      </c>
      <c r="M209" s="26">
        <f t="shared" si="47"/>
        <v>12961.44</v>
      </c>
      <c r="N209" s="26">
        <f t="shared" si="47"/>
        <v>13108.334400000002</v>
      </c>
      <c r="O209" s="26">
        <f t="shared" si="47"/>
        <v>13256.697744000001</v>
      </c>
      <c r="P209" s="26">
        <f t="shared" si="47"/>
        <v>13406.544721440001</v>
      </c>
      <c r="Q209" s="26">
        <f t="shared" si="47"/>
        <v>13557.890168654401</v>
      </c>
      <c r="R209" s="26">
        <f t="shared" si="47"/>
        <v>13710.749070340946</v>
      </c>
      <c r="S209" s="26">
        <f t="shared" si="47"/>
        <v>13865.136561044355</v>
      </c>
      <c r="T209" s="26">
        <f t="shared" si="47"/>
        <v>14021.0679266548</v>
      </c>
      <c r="U209" s="26">
        <f t="shared" si="47"/>
        <v>14178.558605921347</v>
      </c>
      <c r="V209" s="26">
        <f t="shared" si="47"/>
        <v>14337.624191980562</v>
      </c>
      <c r="W209" s="26">
        <f t="shared" si="47"/>
        <v>14498.280433900367</v>
      </c>
      <c r="X209" s="26">
        <f t="shared" si="47"/>
        <v>14660.54323823937</v>
      </c>
      <c r="Y209" s="26">
        <f t="shared" si="47"/>
        <v>14824.428670621764</v>
      </c>
      <c r="Z209" s="26">
        <f t="shared" si="47"/>
        <v>14989.952957327983</v>
      </c>
      <c r="AA209" s="26">
        <f t="shared" si="47"/>
        <v>15157.132486901264</v>
      </c>
      <c r="AB209" s="26">
        <f t="shared" si="47"/>
        <v>15325.983811770278</v>
      </c>
      <c r="AC209" s="26">
        <f t="shared" si="47"/>
        <v>15496.523649887982</v>
      </c>
      <c r="AD209" s="26">
        <f t="shared" si="47"/>
        <v>15668.768886386861</v>
      </c>
      <c r="AE209" s="26">
        <f t="shared" si="47"/>
        <v>15842.736575250728</v>
      </c>
      <c r="AF209" s="26">
        <f t="shared" si="47"/>
        <v>16018.443941003236</v>
      </c>
      <c r="AG209" s="26">
        <f t="shared" si="47"/>
        <v>16195.908380413268</v>
      </c>
      <c r="AH209" s="26">
        <f t="shared" si="47"/>
        <v>16375.1474642174</v>
      </c>
      <c r="AI209" s="26">
        <f t="shared" si="47"/>
        <v>16556.178938859575</v>
      </c>
    </row>
    <row r="211" spans="5:35" x14ac:dyDescent="0.3">
      <c r="E211" t="str">
        <f>E59</f>
        <v>Year with no price rise</v>
      </c>
      <c r="J211">
        <f t="shared" ref="J211:AI211" si="48">J59</f>
        <v>0</v>
      </c>
      <c r="K211">
        <f t="shared" si="48"/>
        <v>1</v>
      </c>
      <c r="L211">
        <f t="shared" si="48"/>
        <v>1</v>
      </c>
      <c r="M211">
        <f t="shared" si="48"/>
        <v>1</v>
      </c>
      <c r="N211">
        <f t="shared" si="48"/>
        <v>1</v>
      </c>
      <c r="O211">
        <f t="shared" si="48"/>
        <v>1</v>
      </c>
      <c r="P211">
        <f t="shared" si="48"/>
        <v>0</v>
      </c>
      <c r="Q211">
        <f t="shared" si="48"/>
        <v>0</v>
      </c>
      <c r="R211">
        <f t="shared" si="48"/>
        <v>0</v>
      </c>
      <c r="S211">
        <f t="shared" si="48"/>
        <v>0</v>
      </c>
      <c r="T211">
        <f t="shared" si="48"/>
        <v>0</v>
      </c>
      <c r="U211">
        <f t="shared" si="48"/>
        <v>0</v>
      </c>
      <c r="V211">
        <f t="shared" si="48"/>
        <v>0</v>
      </c>
      <c r="W211">
        <f t="shared" si="48"/>
        <v>0</v>
      </c>
      <c r="X211">
        <f t="shared" si="48"/>
        <v>0</v>
      </c>
      <c r="Y211">
        <f t="shared" si="48"/>
        <v>0</v>
      </c>
      <c r="Z211">
        <f t="shared" si="48"/>
        <v>0</v>
      </c>
      <c r="AA211">
        <f t="shared" si="48"/>
        <v>0</v>
      </c>
      <c r="AB211">
        <f t="shared" si="48"/>
        <v>0</v>
      </c>
      <c r="AC211">
        <f t="shared" si="48"/>
        <v>0</v>
      </c>
      <c r="AD211">
        <f t="shared" si="48"/>
        <v>0</v>
      </c>
      <c r="AE211">
        <f t="shared" si="48"/>
        <v>0</v>
      </c>
      <c r="AF211">
        <f t="shared" si="48"/>
        <v>0</v>
      </c>
      <c r="AG211">
        <f t="shared" si="48"/>
        <v>0</v>
      </c>
      <c r="AH211">
        <f t="shared" si="48"/>
        <v>0</v>
      </c>
      <c r="AI211">
        <f t="shared" si="48"/>
        <v>0</v>
      </c>
    </row>
    <row r="212" spans="5:35" x14ac:dyDescent="0.3">
      <c r="E212" t="str">
        <f t="shared" ref="E212:AI212" si="49">E60</f>
        <v>Years with first price rise</v>
      </c>
      <c r="J212">
        <f t="shared" si="49"/>
        <v>0</v>
      </c>
      <c r="K212">
        <f t="shared" si="49"/>
        <v>0</v>
      </c>
      <c r="L212">
        <f t="shared" si="49"/>
        <v>0</v>
      </c>
      <c r="M212">
        <f t="shared" si="49"/>
        <v>0</v>
      </c>
      <c r="N212">
        <f t="shared" si="49"/>
        <v>0</v>
      </c>
      <c r="O212">
        <f t="shared" si="49"/>
        <v>0</v>
      </c>
      <c r="P212">
        <f t="shared" si="49"/>
        <v>1</v>
      </c>
      <c r="Q212">
        <f t="shared" si="49"/>
        <v>1</v>
      </c>
      <c r="R212">
        <f t="shared" si="49"/>
        <v>1</v>
      </c>
      <c r="S212">
        <f t="shared" si="49"/>
        <v>1</v>
      </c>
      <c r="T212">
        <f t="shared" si="49"/>
        <v>1</v>
      </c>
      <c r="U212">
        <f t="shared" si="49"/>
        <v>0</v>
      </c>
      <c r="V212">
        <f t="shared" si="49"/>
        <v>0</v>
      </c>
      <c r="W212">
        <f t="shared" si="49"/>
        <v>0</v>
      </c>
      <c r="X212">
        <f t="shared" si="49"/>
        <v>0</v>
      </c>
      <c r="Y212">
        <f t="shared" si="49"/>
        <v>0</v>
      </c>
      <c r="Z212">
        <f t="shared" si="49"/>
        <v>0</v>
      </c>
      <c r="AA212">
        <f t="shared" si="49"/>
        <v>0</v>
      </c>
      <c r="AB212">
        <f t="shared" si="49"/>
        <v>0</v>
      </c>
      <c r="AC212">
        <f t="shared" si="49"/>
        <v>0</v>
      </c>
      <c r="AD212">
        <f t="shared" si="49"/>
        <v>0</v>
      </c>
      <c r="AE212">
        <f t="shared" si="49"/>
        <v>0</v>
      </c>
      <c r="AF212">
        <f t="shared" si="49"/>
        <v>0</v>
      </c>
      <c r="AG212">
        <f t="shared" si="49"/>
        <v>0</v>
      </c>
      <c r="AH212">
        <f t="shared" si="49"/>
        <v>0</v>
      </c>
      <c r="AI212">
        <f t="shared" si="49"/>
        <v>0</v>
      </c>
    </row>
    <row r="213" spans="5:35" x14ac:dyDescent="0.3">
      <c r="E213" t="str">
        <f t="shared" ref="E213:AI213" si="50">E61</f>
        <v>Years with second price rise</v>
      </c>
      <c r="J213">
        <f t="shared" si="50"/>
        <v>0</v>
      </c>
      <c r="K213">
        <f t="shared" si="50"/>
        <v>0</v>
      </c>
      <c r="L213">
        <f t="shared" si="50"/>
        <v>0</v>
      </c>
      <c r="M213">
        <f t="shared" si="50"/>
        <v>0</v>
      </c>
      <c r="N213">
        <f t="shared" si="50"/>
        <v>0</v>
      </c>
      <c r="O213">
        <f t="shared" si="50"/>
        <v>0</v>
      </c>
      <c r="P213">
        <f t="shared" si="50"/>
        <v>0</v>
      </c>
      <c r="Q213">
        <f t="shared" si="50"/>
        <v>0</v>
      </c>
      <c r="R213">
        <f t="shared" si="50"/>
        <v>0</v>
      </c>
      <c r="S213">
        <f t="shared" si="50"/>
        <v>0</v>
      </c>
      <c r="T213">
        <f t="shared" si="50"/>
        <v>0</v>
      </c>
      <c r="U213">
        <f t="shared" si="50"/>
        <v>1</v>
      </c>
      <c r="V213">
        <f t="shared" si="50"/>
        <v>1</v>
      </c>
      <c r="W213">
        <f t="shared" si="50"/>
        <v>1</v>
      </c>
      <c r="X213">
        <f t="shared" si="50"/>
        <v>1</v>
      </c>
      <c r="Y213">
        <f t="shared" si="50"/>
        <v>1</v>
      </c>
      <c r="Z213">
        <f t="shared" si="50"/>
        <v>0</v>
      </c>
      <c r="AA213">
        <f t="shared" si="50"/>
        <v>0</v>
      </c>
      <c r="AB213">
        <f t="shared" si="50"/>
        <v>0</v>
      </c>
      <c r="AC213">
        <f t="shared" si="50"/>
        <v>0</v>
      </c>
      <c r="AD213">
        <f t="shared" si="50"/>
        <v>0</v>
      </c>
      <c r="AE213">
        <f t="shared" si="50"/>
        <v>0</v>
      </c>
      <c r="AF213">
        <f t="shared" si="50"/>
        <v>0</v>
      </c>
      <c r="AG213">
        <f t="shared" si="50"/>
        <v>0</v>
      </c>
      <c r="AH213">
        <f t="shared" si="50"/>
        <v>0</v>
      </c>
      <c r="AI213">
        <f t="shared" si="50"/>
        <v>0</v>
      </c>
    </row>
    <row r="214" spans="5:35" x14ac:dyDescent="0.3">
      <c r="E214" t="str">
        <f t="shared" ref="E214:AI214" si="51">E62</f>
        <v>Years with third price rise</v>
      </c>
      <c r="J214">
        <f t="shared" si="51"/>
        <v>0</v>
      </c>
      <c r="K214">
        <f t="shared" si="51"/>
        <v>0</v>
      </c>
      <c r="L214">
        <f t="shared" si="51"/>
        <v>0</v>
      </c>
      <c r="M214">
        <f t="shared" si="51"/>
        <v>0</v>
      </c>
      <c r="N214">
        <f t="shared" si="51"/>
        <v>0</v>
      </c>
      <c r="O214">
        <f t="shared" si="51"/>
        <v>0</v>
      </c>
      <c r="P214">
        <f t="shared" si="51"/>
        <v>0</v>
      </c>
      <c r="Q214">
        <f t="shared" si="51"/>
        <v>0</v>
      </c>
      <c r="R214">
        <f t="shared" si="51"/>
        <v>0</v>
      </c>
      <c r="S214">
        <f t="shared" si="51"/>
        <v>0</v>
      </c>
      <c r="T214">
        <f t="shared" si="51"/>
        <v>0</v>
      </c>
      <c r="U214">
        <f t="shared" si="51"/>
        <v>0</v>
      </c>
      <c r="V214">
        <f t="shared" si="51"/>
        <v>0</v>
      </c>
      <c r="W214">
        <f t="shared" si="51"/>
        <v>0</v>
      </c>
      <c r="X214">
        <f t="shared" si="51"/>
        <v>0</v>
      </c>
      <c r="Y214">
        <f t="shared" si="51"/>
        <v>0</v>
      </c>
      <c r="Z214">
        <f t="shared" si="51"/>
        <v>1</v>
      </c>
      <c r="AA214">
        <f t="shared" si="51"/>
        <v>1</v>
      </c>
      <c r="AB214">
        <f t="shared" si="51"/>
        <v>1</v>
      </c>
      <c r="AC214">
        <f t="shared" si="51"/>
        <v>1</v>
      </c>
      <c r="AD214">
        <f t="shared" si="51"/>
        <v>1</v>
      </c>
      <c r="AE214">
        <f t="shared" si="51"/>
        <v>0</v>
      </c>
      <c r="AF214">
        <f t="shared" si="51"/>
        <v>0</v>
      </c>
      <c r="AG214">
        <f t="shared" si="51"/>
        <v>0</v>
      </c>
      <c r="AH214">
        <f t="shared" si="51"/>
        <v>0</v>
      </c>
      <c r="AI214">
        <f t="shared" si="51"/>
        <v>0</v>
      </c>
    </row>
    <row r="215" spans="5:35" x14ac:dyDescent="0.3">
      <c r="E215" t="str">
        <f t="shared" ref="E215:AI215" si="52">E63</f>
        <v>Years with fourth price rise</v>
      </c>
      <c r="J215">
        <f t="shared" si="52"/>
        <v>0</v>
      </c>
      <c r="K215">
        <f t="shared" si="52"/>
        <v>0</v>
      </c>
      <c r="L215">
        <f t="shared" si="52"/>
        <v>0</v>
      </c>
      <c r="M215">
        <f t="shared" si="52"/>
        <v>0</v>
      </c>
      <c r="N215">
        <f t="shared" si="52"/>
        <v>0</v>
      </c>
      <c r="O215">
        <f t="shared" si="52"/>
        <v>0</v>
      </c>
      <c r="P215">
        <f t="shared" si="52"/>
        <v>0</v>
      </c>
      <c r="Q215">
        <f t="shared" si="52"/>
        <v>0</v>
      </c>
      <c r="R215">
        <f t="shared" si="52"/>
        <v>0</v>
      </c>
      <c r="S215">
        <f t="shared" si="52"/>
        <v>0</v>
      </c>
      <c r="T215">
        <f t="shared" si="52"/>
        <v>0</v>
      </c>
      <c r="U215">
        <f t="shared" si="52"/>
        <v>0</v>
      </c>
      <c r="V215">
        <f t="shared" si="52"/>
        <v>0</v>
      </c>
      <c r="W215">
        <f t="shared" si="52"/>
        <v>0</v>
      </c>
      <c r="X215">
        <f t="shared" si="52"/>
        <v>0</v>
      </c>
      <c r="Y215">
        <f t="shared" si="52"/>
        <v>0</v>
      </c>
      <c r="Z215">
        <f t="shared" si="52"/>
        <v>0</v>
      </c>
      <c r="AA215">
        <f t="shared" si="52"/>
        <v>0</v>
      </c>
      <c r="AB215">
        <f t="shared" si="52"/>
        <v>0</v>
      </c>
      <c r="AC215">
        <f t="shared" si="52"/>
        <v>0</v>
      </c>
      <c r="AD215">
        <f t="shared" si="52"/>
        <v>0</v>
      </c>
      <c r="AE215">
        <f t="shared" si="52"/>
        <v>1</v>
      </c>
      <c r="AF215">
        <f t="shared" si="52"/>
        <v>1</v>
      </c>
      <c r="AG215">
        <f t="shared" si="52"/>
        <v>1</v>
      </c>
      <c r="AH215">
        <f t="shared" si="52"/>
        <v>1</v>
      </c>
      <c r="AI215">
        <f t="shared" si="52"/>
        <v>1</v>
      </c>
    </row>
    <row r="216" spans="5:35" x14ac:dyDescent="0.3">
      <c r="E216" t="str">
        <f t="shared" ref="E216:AI216" si="53">E64</f>
        <v>Years with fifth price rise</v>
      </c>
      <c r="J216">
        <f t="shared" si="53"/>
        <v>0</v>
      </c>
      <c r="K216">
        <f t="shared" si="53"/>
        <v>0</v>
      </c>
      <c r="L216">
        <f t="shared" si="53"/>
        <v>0</v>
      </c>
      <c r="M216">
        <f t="shared" si="53"/>
        <v>0</v>
      </c>
      <c r="N216">
        <f t="shared" si="53"/>
        <v>0</v>
      </c>
      <c r="O216">
        <f t="shared" si="53"/>
        <v>0</v>
      </c>
      <c r="P216">
        <f t="shared" si="53"/>
        <v>0</v>
      </c>
      <c r="Q216">
        <f t="shared" si="53"/>
        <v>0</v>
      </c>
      <c r="R216">
        <f t="shared" si="53"/>
        <v>0</v>
      </c>
      <c r="S216">
        <f t="shared" si="53"/>
        <v>0</v>
      </c>
      <c r="T216">
        <f t="shared" si="53"/>
        <v>0</v>
      </c>
      <c r="U216">
        <f t="shared" si="53"/>
        <v>0</v>
      </c>
      <c r="V216">
        <f t="shared" si="53"/>
        <v>0</v>
      </c>
      <c r="W216">
        <f t="shared" si="53"/>
        <v>0</v>
      </c>
      <c r="X216">
        <f t="shared" si="53"/>
        <v>0</v>
      </c>
      <c r="Y216">
        <f t="shared" si="53"/>
        <v>0</v>
      </c>
      <c r="Z216">
        <f t="shared" si="53"/>
        <v>0</v>
      </c>
      <c r="AA216">
        <f t="shared" si="53"/>
        <v>0</v>
      </c>
      <c r="AB216">
        <f t="shared" si="53"/>
        <v>0</v>
      </c>
      <c r="AC216">
        <f t="shared" si="53"/>
        <v>0</v>
      </c>
      <c r="AD216">
        <f t="shared" si="53"/>
        <v>0</v>
      </c>
      <c r="AE216">
        <f t="shared" si="53"/>
        <v>0</v>
      </c>
      <c r="AF216">
        <f t="shared" si="53"/>
        <v>0</v>
      </c>
      <c r="AG216">
        <f t="shared" si="53"/>
        <v>0</v>
      </c>
      <c r="AH216">
        <f t="shared" si="53"/>
        <v>0</v>
      </c>
      <c r="AI216">
        <f t="shared" si="53"/>
        <v>0</v>
      </c>
    </row>
    <row r="218" spans="5:35" x14ac:dyDescent="0.3">
      <c r="E218" s="12" t="s">
        <v>126</v>
      </c>
      <c r="F218" s="10"/>
      <c r="G218" s="12" t="str">
        <f>$F$3&amp;"/year"</f>
        <v>£/year</v>
      </c>
      <c r="J218" s="24">
        <f>IF(J211=0,0,($F191*J$208)+($F192*J$209))</f>
        <v>0</v>
      </c>
      <c r="K218" s="24">
        <f t="shared" ref="K218:AI218" si="54">IF(K211=0,0,($F191*K$208)+($F192*K$209))</f>
        <v>6652.8</v>
      </c>
      <c r="L218" s="24">
        <f t="shared" si="54"/>
        <v>6728.4</v>
      </c>
      <c r="M218" s="24">
        <f t="shared" si="54"/>
        <v>6804.7559999999994</v>
      </c>
      <c r="N218" s="24">
        <f t="shared" si="54"/>
        <v>6881.8755599999986</v>
      </c>
      <c r="O218" s="24">
        <f t="shared" si="54"/>
        <v>6959.766315599999</v>
      </c>
      <c r="P218" s="24">
        <f t="shared" si="54"/>
        <v>0</v>
      </c>
      <c r="Q218" s="24">
        <f t="shared" si="54"/>
        <v>0</v>
      </c>
      <c r="R218" s="24">
        <f t="shared" si="54"/>
        <v>0</v>
      </c>
      <c r="S218" s="24">
        <f t="shared" si="54"/>
        <v>0</v>
      </c>
      <c r="T218" s="24">
        <f t="shared" si="54"/>
        <v>0</v>
      </c>
      <c r="U218" s="24">
        <f t="shared" si="54"/>
        <v>0</v>
      </c>
      <c r="V218" s="24">
        <f t="shared" si="54"/>
        <v>0</v>
      </c>
      <c r="W218" s="24">
        <f t="shared" si="54"/>
        <v>0</v>
      </c>
      <c r="X218" s="24">
        <f t="shared" si="54"/>
        <v>0</v>
      </c>
      <c r="Y218" s="24">
        <f t="shared" si="54"/>
        <v>0</v>
      </c>
      <c r="Z218" s="24">
        <f t="shared" si="54"/>
        <v>0</v>
      </c>
      <c r="AA218" s="24">
        <f t="shared" si="54"/>
        <v>0</v>
      </c>
      <c r="AB218" s="24">
        <f t="shared" si="54"/>
        <v>0</v>
      </c>
      <c r="AC218" s="24">
        <f t="shared" si="54"/>
        <v>0</v>
      </c>
      <c r="AD218" s="24">
        <f t="shared" si="54"/>
        <v>0</v>
      </c>
      <c r="AE218" s="24">
        <f t="shared" si="54"/>
        <v>0</v>
      </c>
      <c r="AF218" s="24">
        <f t="shared" si="54"/>
        <v>0</v>
      </c>
      <c r="AG218" s="24">
        <f t="shared" si="54"/>
        <v>0</v>
      </c>
      <c r="AH218" s="24">
        <f t="shared" si="54"/>
        <v>0</v>
      </c>
      <c r="AI218" s="24">
        <f t="shared" si="54"/>
        <v>0</v>
      </c>
    </row>
    <row r="219" spans="5:35" x14ac:dyDescent="0.3">
      <c r="E219" s="12" t="s">
        <v>127</v>
      </c>
      <c r="F219" s="10"/>
      <c r="G219" s="12" t="str">
        <f t="shared" ref="G219:G224" si="55">$F$3&amp;"/year"</f>
        <v>£/year</v>
      </c>
      <c r="J219" s="24">
        <f>IF(J212=0,0,($F193*J$208)+($F194*J$209))</f>
        <v>0</v>
      </c>
      <c r="K219" s="24">
        <f t="shared" ref="K219:AI219" si="56">IF(K212=0,0,($F193*K$208)+($F194*K$209))</f>
        <v>0</v>
      </c>
      <c r="L219" s="24">
        <f t="shared" si="56"/>
        <v>0</v>
      </c>
      <c r="M219" s="24">
        <f t="shared" si="56"/>
        <v>0</v>
      </c>
      <c r="N219" s="24">
        <f t="shared" si="56"/>
        <v>0</v>
      </c>
      <c r="O219" s="24">
        <f t="shared" si="56"/>
        <v>0</v>
      </c>
      <c r="P219" s="24">
        <f t="shared" si="56"/>
        <v>7108.82033854356</v>
      </c>
      <c r="Q219" s="24">
        <f t="shared" si="56"/>
        <v>7189.0712619289952</v>
      </c>
      <c r="R219" s="24">
        <f t="shared" si="56"/>
        <v>7270.1246945482853</v>
      </c>
      <c r="S219" s="24">
        <f t="shared" si="56"/>
        <v>7351.9886614937677</v>
      </c>
      <c r="T219" s="24">
        <f t="shared" si="56"/>
        <v>7434.6712681087065</v>
      </c>
      <c r="U219" s="24">
        <f t="shared" si="56"/>
        <v>0</v>
      </c>
      <c r="V219" s="24">
        <f t="shared" si="56"/>
        <v>0</v>
      </c>
      <c r="W219" s="24">
        <f t="shared" si="56"/>
        <v>0</v>
      </c>
      <c r="X219" s="24">
        <f t="shared" si="56"/>
        <v>0</v>
      </c>
      <c r="Y219" s="24">
        <f t="shared" si="56"/>
        <v>0</v>
      </c>
      <c r="Z219" s="24">
        <f t="shared" si="56"/>
        <v>0</v>
      </c>
      <c r="AA219" s="24">
        <f t="shared" si="56"/>
        <v>0</v>
      </c>
      <c r="AB219" s="24">
        <f t="shared" si="56"/>
        <v>0</v>
      </c>
      <c r="AC219" s="24">
        <f t="shared" si="56"/>
        <v>0</v>
      </c>
      <c r="AD219" s="24">
        <f t="shared" si="56"/>
        <v>0</v>
      </c>
      <c r="AE219" s="24">
        <f t="shared" si="56"/>
        <v>0</v>
      </c>
      <c r="AF219" s="24">
        <f t="shared" si="56"/>
        <v>0</v>
      </c>
      <c r="AG219" s="24">
        <f t="shared" si="56"/>
        <v>0</v>
      </c>
      <c r="AH219" s="24">
        <f t="shared" si="56"/>
        <v>0</v>
      </c>
      <c r="AI219" s="24">
        <f t="shared" si="56"/>
        <v>0</v>
      </c>
    </row>
    <row r="220" spans="5:35" x14ac:dyDescent="0.3">
      <c r="E220" s="12" t="s">
        <v>128</v>
      </c>
      <c r="F220" s="10"/>
      <c r="G220" s="12" t="str">
        <f t="shared" si="55"/>
        <v>£/year</v>
      </c>
      <c r="J220" s="24">
        <f>IF(J213=0,0,($F195*J$208)+($F196*J$209))</f>
        <v>0</v>
      </c>
      <c r="K220" s="24">
        <f t="shared" ref="K220:AI220" si="57">IF(K213=0,0,($F195*K$208)+($F196*K$209))</f>
        <v>0</v>
      </c>
      <c r="L220" s="24">
        <f t="shared" si="57"/>
        <v>0</v>
      </c>
      <c r="M220" s="24">
        <f t="shared" si="57"/>
        <v>0</v>
      </c>
      <c r="N220" s="24">
        <f t="shared" si="57"/>
        <v>0</v>
      </c>
      <c r="O220" s="24">
        <f t="shared" si="57"/>
        <v>0</v>
      </c>
      <c r="P220" s="24">
        <f t="shared" si="57"/>
        <v>0</v>
      </c>
      <c r="Q220" s="24">
        <f t="shared" si="57"/>
        <v>0</v>
      </c>
      <c r="R220" s="24">
        <f t="shared" si="57"/>
        <v>0</v>
      </c>
      <c r="S220" s="24">
        <f t="shared" si="57"/>
        <v>0</v>
      </c>
      <c r="T220" s="24">
        <f t="shared" si="57"/>
        <v>0</v>
      </c>
      <c r="U220" s="24">
        <f t="shared" si="57"/>
        <v>7630.9534113016398</v>
      </c>
      <c r="V220" s="24">
        <f t="shared" si="57"/>
        <v>7716.5631062146558</v>
      </c>
      <c r="W220" s="24">
        <f t="shared" si="57"/>
        <v>7803.0288980768019</v>
      </c>
      <c r="X220" s="24">
        <f t="shared" si="57"/>
        <v>7890.3593478575694</v>
      </c>
      <c r="Y220" s="24">
        <f t="shared" si="57"/>
        <v>7978.563102136146</v>
      </c>
      <c r="Z220" s="24">
        <f t="shared" si="57"/>
        <v>0</v>
      </c>
      <c r="AA220" s="24">
        <f t="shared" si="57"/>
        <v>0</v>
      </c>
      <c r="AB220" s="24">
        <f t="shared" si="57"/>
        <v>0</v>
      </c>
      <c r="AC220" s="24">
        <f t="shared" si="57"/>
        <v>0</v>
      </c>
      <c r="AD220" s="24">
        <f t="shared" si="57"/>
        <v>0</v>
      </c>
      <c r="AE220" s="24">
        <f t="shared" si="57"/>
        <v>0</v>
      </c>
      <c r="AF220" s="24">
        <f t="shared" si="57"/>
        <v>0</v>
      </c>
      <c r="AG220" s="24">
        <f t="shared" si="57"/>
        <v>0</v>
      </c>
      <c r="AH220" s="24">
        <f t="shared" si="57"/>
        <v>0</v>
      </c>
      <c r="AI220" s="24">
        <f t="shared" si="57"/>
        <v>0</v>
      </c>
    </row>
    <row r="221" spans="5:35" x14ac:dyDescent="0.3">
      <c r="E221" s="12" t="s">
        <v>129</v>
      </c>
      <c r="F221" s="10"/>
      <c r="G221" s="12" t="str">
        <f t="shared" si="55"/>
        <v>£/year</v>
      </c>
      <c r="J221" s="24">
        <f>IF(J214=0,0,($F197*J$208)+($F198*J$209))</f>
        <v>0</v>
      </c>
      <c r="K221" s="24">
        <f t="shared" ref="K221:AI221" si="58">IF(K214=0,0,($F197*K$208)+($F198*K$209))</f>
        <v>0</v>
      </c>
      <c r="L221" s="24">
        <f t="shared" si="58"/>
        <v>0</v>
      </c>
      <c r="M221" s="24">
        <f t="shared" si="58"/>
        <v>0</v>
      </c>
      <c r="N221" s="24">
        <f t="shared" si="58"/>
        <v>0</v>
      </c>
      <c r="O221" s="24">
        <f t="shared" si="58"/>
        <v>0</v>
      </c>
      <c r="P221" s="24">
        <f t="shared" si="58"/>
        <v>0</v>
      </c>
      <c r="Q221" s="24">
        <f t="shared" si="58"/>
        <v>0</v>
      </c>
      <c r="R221" s="24">
        <f t="shared" si="58"/>
        <v>0</v>
      </c>
      <c r="S221" s="24">
        <f t="shared" si="58"/>
        <v>0</v>
      </c>
      <c r="T221" s="24">
        <f t="shared" si="58"/>
        <v>0</v>
      </c>
      <c r="U221" s="24">
        <f t="shared" si="58"/>
        <v>0</v>
      </c>
      <c r="V221" s="24">
        <f t="shared" si="58"/>
        <v>0</v>
      </c>
      <c r="W221" s="24">
        <f t="shared" si="58"/>
        <v>0</v>
      </c>
      <c r="X221" s="24">
        <f t="shared" si="58"/>
        <v>0</v>
      </c>
      <c r="Y221" s="24">
        <f t="shared" si="58"/>
        <v>0</v>
      </c>
      <c r="Z221" s="24">
        <f t="shared" si="58"/>
        <v>8188.6636273668701</v>
      </c>
      <c r="AA221" s="24">
        <f t="shared" si="58"/>
        <v>8279.9899268525369</v>
      </c>
      <c r="AB221" s="24">
        <f t="shared" si="58"/>
        <v>8372.2294893330636</v>
      </c>
      <c r="AC221" s="24">
        <f t="shared" si="58"/>
        <v>8465.3914474383928</v>
      </c>
      <c r="AD221" s="24">
        <f t="shared" si="58"/>
        <v>8559.4850251247772</v>
      </c>
      <c r="AE221" s="24">
        <f t="shared" si="58"/>
        <v>0</v>
      </c>
      <c r="AF221" s="24">
        <f t="shared" si="58"/>
        <v>0</v>
      </c>
      <c r="AG221" s="24">
        <f t="shared" si="58"/>
        <v>0</v>
      </c>
      <c r="AH221" s="24">
        <f t="shared" si="58"/>
        <v>0</v>
      </c>
      <c r="AI221" s="24">
        <f t="shared" si="58"/>
        <v>0</v>
      </c>
    </row>
    <row r="222" spans="5:35" x14ac:dyDescent="0.3">
      <c r="E222" s="12" t="s">
        <v>130</v>
      </c>
      <c r="F222" s="10"/>
      <c r="G222" s="12" t="str">
        <f t="shared" si="55"/>
        <v>£/year</v>
      </c>
      <c r="J222" s="24">
        <f>IF(J215=0,0,($F198*J$208)+($F199*J$209))</f>
        <v>0</v>
      </c>
      <c r="K222" s="24">
        <f t="shared" ref="K222:AI222" si="59">IF(K215=0,0,($F198*K$208)+($F199*K$209))</f>
        <v>0</v>
      </c>
      <c r="L222" s="24">
        <f t="shared" si="59"/>
        <v>0</v>
      </c>
      <c r="M222" s="24">
        <f t="shared" si="59"/>
        <v>0</v>
      </c>
      <c r="N222" s="24">
        <f t="shared" si="59"/>
        <v>0</v>
      </c>
      <c r="O222" s="24">
        <f t="shared" si="59"/>
        <v>0</v>
      </c>
      <c r="P222" s="24">
        <f t="shared" si="59"/>
        <v>0</v>
      </c>
      <c r="Q222" s="24">
        <f t="shared" si="59"/>
        <v>0</v>
      </c>
      <c r="R222" s="24">
        <f t="shared" si="59"/>
        <v>0</v>
      </c>
      <c r="S222" s="24">
        <f t="shared" si="59"/>
        <v>0</v>
      </c>
      <c r="T222" s="24">
        <f t="shared" si="59"/>
        <v>0</v>
      </c>
      <c r="U222" s="24">
        <f t="shared" si="59"/>
        <v>0</v>
      </c>
      <c r="V222" s="24">
        <f t="shared" si="59"/>
        <v>0</v>
      </c>
      <c r="W222" s="24">
        <f t="shared" si="59"/>
        <v>0</v>
      </c>
      <c r="X222" s="24">
        <f t="shared" si="59"/>
        <v>0</v>
      </c>
      <c r="Y222" s="24">
        <f t="shared" si="59"/>
        <v>0</v>
      </c>
      <c r="Z222" s="24">
        <f t="shared" si="59"/>
        <v>0</v>
      </c>
      <c r="AA222" s="24">
        <f t="shared" si="59"/>
        <v>0</v>
      </c>
      <c r="AB222" s="24">
        <f t="shared" si="59"/>
        <v>0</v>
      </c>
      <c r="AC222" s="24">
        <f t="shared" si="59"/>
        <v>0</v>
      </c>
      <c r="AD222" s="24">
        <f t="shared" si="59"/>
        <v>0</v>
      </c>
      <c r="AE222" s="24">
        <f t="shared" si="59"/>
        <v>8691.6103366105453</v>
      </c>
      <c r="AF222" s="24">
        <f t="shared" si="59"/>
        <v>8788.0065588881298</v>
      </c>
      <c r="AG222" s="24">
        <f t="shared" si="59"/>
        <v>8885.3667433884912</v>
      </c>
      <c r="AH222" s="24">
        <f t="shared" si="59"/>
        <v>8983.7005297338565</v>
      </c>
      <c r="AI222" s="24">
        <f t="shared" si="59"/>
        <v>9083.0176539426757</v>
      </c>
    </row>
    <row r="223" spans="5:35" x14ac:dyDescent="0.3">
      <c r="E223" s="12" t="s">
        <v>131</v>
      </c>
      <c r="F223" s="10"/>
      <c r="G223" s="12" t="str">
        <f t="shared" si="55"/>
        <v>£/year</v>
      </c>
      <c r="J223" s="24">
        <f>IF(J216=0,0,($F201*J$208)+($F202*J$209))</f>
        <v>0</v>
      </c>
      <c r="K223" s="24">
        <f t="shared" ref="K223:AI223" si="60">IF(K216=0,0,($F201*K$208)+($F202*K$209))</f>
        <v>0</v>
      </c>
      <c r="L223" s="24">
        <f t="shared" si="60"/>
        <v>0</v>
      </c>
      <c r="M223" s="24">
        <f t="shared" si="60"/>
        <v>0</v>
      </c>
      <c r="N223" s="24">
        <f t="shared" si="60"/>
        <v>0</v>
      </c>
      <c r="O223" s="24">
        <f t="shared" si="60"/>
        <v>0</v>
      </c>
      <c r="P223" s="24">
        <f t="shared" si="60"/>
        <v>0</v>
      </c>
      <c r="Q223" s="24">
        <f t="shared" si="60"/>
        <v>0</v>
      </c>
      <c r="R223" s="24">
        <f t="shared" si="60"/>
        <v>0</v>
      </c>
      <c r="S223" s="24">
        <f t="shared" si="60"/>
        <v>0</v>
      </c>
      <c r="T223" s="24">
        <f t="shared" si="60"/>
        <v>0</v>
      </c>
      <c r="U223" s="24">
        <f t="shared" si="60"/>
        <v>0</v>
      </c>
      <c r="V223" s="24">
        <f t="shared" si="60"/>
        <v>0</v>
      </c>
      <c r="W223" s="24">
        <f t="shared" si="60"/>
        <v>0</v>
      </c>
      <c r="X223" s="24">
        <f t="shared" si="60"/>
        <v>0</v>
      </c>
      <c r="Y223" s="24">
        <f t="shared" si="60"/>
        <v>0</v>
      </c>
      <c r="Z223" s="24">
        <f t="shared" si="60"/>
        <v>0</v>
      </c>
      <c r="AA223" s="24">
        <f t="shared" si="60"/>
        <v>0</v>
      </c>
      <c r="AB223" s="24">
        <f t="shared" si="60"/>
        <v>0</v>
      </c>
      <c r="AC223" s="24">
        <f t="shared" si="60"/>
        <v>0</v>
      </c>
      <c r="AD223" s="24">
        <f t="shared" si="60"/>
        <v>0</v>
      </c>
      <c r="AE223" s="24">
        <f t="shared" si="60"/>
        <v>0</v>
      </c>
      <c r="AF223" s="24">
        <f t="shared" si="60"/>
        <v>0</v>
      </c>
      <c r="AG223" s="24">
        <f t="shared" si="60"/>
        <v>0</v>
      </c>
      <c r="AH223" s="24">
        <f t="shared" si="60"/>
        <v>0</v>
      </c>
      <c r="AI223" s="24">
        <f t="shared" si="60"/>
        <v>0</v>
      </c>
    </row>
    <row r="224" spans="5:35" x14ac:dyDescent="0.3">
      <c r="E224" s="1" t="s">
        <v>102</v>
      </c>
      <c r="F224" s="10"/>
      <c r="G224" s="12" t="str">
        <f t="shared" si="55"/>
        <v>£/year</v>
      </c>
      <c r="J224" s="24">
        <f>SUM(J218:J223)</f>
        <v>0</v>
      </c>
      <c r="K224" s="24">
        <f t="shared" ref="K224:AI224" si="61">SUM(K218:K223)</f>
        <v>6652.8</v>
      </c>
      <c r="L224" s="24">
        <f t="shared" si="61"/>
        <v>6728.4</v>
      </c>
      <c r="M224" s="24">
        <f t="shared" si="61"/>
        <v>6804.7559999999994</v>
      </c>
      <c r="N224" s="24">
        <f t="shared" si="61"/>
        <v>6881.8755599999986</v>
      </c>
      <c r="O224" s="24">
        <f t="shared" si="61"/>
        <v>6959.766315599999</v>
      </c>
      <c r="P224" s="24">
        <f t="shared" si="61"/>
        <v>7108.82033854356</v>
      </c>
      <c r="Q224" s="24">
        <f t="shared" si="61"/>
        <v>7189.0712619289952</v>
      </c>
      <c r="R224" s="24">
        <f t="shared" si="61"/>
        <v>7270.1246945482853</v>
      </c>
      <c r="S224" s="24">
        <f t="shared" si="61"/>
        <v>7351.9886614937677</v>
      </c>
      <c r="T224" s="24">
        <f t="shared" si="61"/>
        <v>7434.6712681087065</v>
      </c>
      <c r="U224" s="24">
        <f t="shared" si="61"/>
        <v>7630.9534113016398</v>
      </c>
      <c r="V224" s="24">
        <f t="shared" si="61"/>
        <v>7716.5631062146558</v>
      </c>
      <c r="W224" s="24">
        <f t="shared" si="61"/>
        <v>7803.0288980768019</v>
      </c>
      <c r="X224" s="24">
        <f t="shared" si="61"/>
        <v>7890.3593478575694</v>
      </c>
      <c r="Y224" s="24">
        <f t="shared" si="61"/>
        <v>7978.563102136146</v>
      </c>
      <c r="Z224" s="24">
        <f t="shared" si="61"/>
        <v>8188.6636273668701</v>
      </c>
      <c r="AA224" s="24">
        <f t="shared" si="61"/>
        <v>8279.9899268525369</v>
      </c>
      <c r="AB224" s="24">
        <f t="shared" si="61"/>
        <v>8372.2294893330636</v>
      </c>
      <c r="AC224" s="24">
        <f t="shared" si="61"/>
        <v>8465.3914474383928</v>
      </c>
      <c r="AD224" s="24">
        <f t="shared" si="61"/>
        <v>8559.4850251247772</v>
      </c>
      <c r="AE224" s="24">
        <f t="shared" si="61"/>
        <v>8691.6103366105453</v>
      </c>
      <c r="AF224" s="24">
        <f t="shared" si="61"/>
        <v>8788.0065588881298</v>
      </c>
      <c r="AG224" s="24">
        <f t="shared" si="61"/>
        <v>8885.3667433884912</v>
      </c>
      <c r="AH224" s="24">
        <f t="shared" si="61"/>
        <v>8983.7005297338565</v>
      </c>
      <c r="AI224" s="24">
        <f t="shared" si="61"/>
        <v>9083.0176539426757</v>
      </c>
    </row>
    <row r="226" spans="2:35" x14ac:dyDescent="0.3">
      <c r="E226" s="10" t="str">
        <f>Time!E57</f>
        <v>Option 3 flag</v>
      </c>
      <c r="F226" s="10"/>
      <c r="G226" s="10"/>
      <c r="H226" s="10"/>
      <c r="I226" s="10"/>
      <c r="J226" s="10">
        <f>Time!F57</f>
        <v>0</v>
      </c>
      <c r="K226" s="10">
        <f>Time!G57</f>
        <v>1</v>
      </c>
      <c r="L226" s="10">
        <f>Time!H57</f>
        <v>1</v>
      </c>
      <c r="M226" s="10">
        <f>Time!I57</f>
        <v>1</v>
      </c>
      <c r="N226" s="10">
        <f>Time!J57</f>
        <v>1</v>
      </c>
      <c r="O226" s="10">
        <f>Time!K57</f>
        <v>1</v>
      </c>
      <c r="P226" s="10">
        <f>Time!L57</f>
        <v>1</v>
      </c>
      <c r="Q226" s="10">
        <f>Time!M57</f>
        <v>1</v>
      </c>
      <c r="R226" s="10">
        <f>Time!N57</f>
        <v>1</v>
      </c>
      <c r="S226" s="10">
        <f>Time!O57</f>
        <v>1</v>
      </c>
      <c r="T226" s="10">
        <f>Time!P57</f>
        <v>1</v>
      </c>
      <c r="U226" s="10">
        <f>Time!Q57</f>
        <v>1</v>
      </c>
      <c r="V226" s="10">
        <f>Time!R57</f>
        <v>1</v>
      </c>
      <c r="W226" s="10">
        <f>Time!S57</f>
        <v>1</v>
      </c>
      <c r="X226" s="10">
        <f>Time!T57</f>
        <v>1</v>
      </c>
      <c r="Y226" s="10">
        <f>Time!U57</f>
        <v>1</v>
      </c>
      <c r="Z226" s="10">
        <f>Time!V57</f>
        <v>1</v>
      </c>
      <c r="AA226" s="10">
        <f>Time!W57</f>
        <v>1</v>
      </c>
      <c r="AB226" s="10">
        <f>Time!X57</f>
        <v>1</v>
      </c>
      <c r="AC226" s="10">
        <f>Time!Y57</f>
        <v>1</v>
      </c>
      <c r="AD226" s="10">
        <f>Time!Z57</f>
        <v>1</v>
      </c>
      <c r="AE226" s="10">
        <f>Time!AA57</f>
        <v>1</v>
      </c>
      <c r="AF226" s="10">
        <f>Time!AB57</f>
        <v>1</v>
      </c>
      <c r="AG226" s="10">
        <f>Time!AC57</f>
        <v>1</v>
      </c>
      <c r="AH226" s="10">
        <f>Time!AD57</f>
        <v>1</v>
      </c>
      <c r="AI226" s="10">
        <f>Time!AE57</f>
        <v>1</v>
      </c>
    </row>
    <row r="227" spans="2:35" x14ac:dyDescent="0.3">
      <c r="E227" s="1" t="s">
        <v>182</v>
      </c>
      <c r="G227" s="12" t="str">
        <f>$F$3&amp;"/year"</f>
        <v>£/year</v>
      </c>
      <c r="H227">
        <f>SUM(J227:AI227)</f>
        <v>506071.21778568934</v>
      </c>
      <c r="J227">
        <f>(J186+J224)*J226</f>
        <v>0</v>
      </c>
      <c r="K227" s="24">
        <f t="shared" ref="K227:AI227" si="62">(K186+K224)*K226</f>
        <v>18748.8</v>
      </c>
      <c r="L227" s="24">
        <f t="shared" si="62"/>
        <v>18824.400000000001</v>
      </c>
      <c r="M227" s="24">
        <f t="shared" si="62"/>
        <v>18900.756000000001</v>
      </c>
      <c r="N227" s="24">
        <f t="shared" si="62"/>
        <v>18977.87556</v>
      </c>
      <c r="O227" s="24">
        <f t="shared" si="62"/>
        <v>19055.766315599998</v>
      </c>
      <c r="P227" s="24">
        <f t="shared" si="62"/>
        <v>19325.780338543558</v>
      </c>
      <c r="Q227" s="24">
        <f t="shared" si="62"/>
        <v>19406.031261928994</v>
      </c>
      <c r="R227" s="24">
        <f t="shared" si="62"/>
        <v>19487.084694548284</v>
      </c>
      <c r="S227" s="24">
        <f t="shared" si="62"/>
        <v>19568.948661493767</v>
      </c>
      <c r="T227" s="24">
        <f t="shared" si="62"/>
        <v>19651.631268108707</v>
      </c>
      <c r="U227" s="24">
        <f t="shared" si="62"/>
        <v>20031.167811301639</v>
      </c>
      <c r="V227" s="24">
        <f t="shared" si="62"/>
        <v>20116.777506214654</v>
      </c>
      <c r="W227" s="24">
        <f t="shared" si="62"/>
        <v>20203.243298076799</v>
      </c>
      <c r="X227" s="24">
        <f t="shared" si="62"/>
        <v>20290.573747857568</v>
      </c>
      <c r="Y227" s="24">
        <f t="shared" si="62"/>
        <v>20378.777502136145</v>
      </c>
      <c r="Z227" s="24">
        <f t="shared" si="62"/>
        <v>20774.881243366865</v>
      </c>
      <c r="AA227" s="24">
        <f t="shared" si="62"/>
        <v>20866.207542852535</v>
      </c>
      <c r="AB227" s="24">
        <f t="shared" si="62"/>
        <v>20958.44710533306</v>
      </c>
      <c r="AC227" s="24">
        <f t="shared" si="62"/>
        <v>21051.609063438387</v>
      </c>
      <c r="AD227" s="24">
        <f t="shared" si="62"/>
        <v>21145.702641124772</v>
      </c>
      <c r="AE227" s="24">
        <f t="shared" si="62"/>
        <v>21466.621216850541</v>
      </c>
      <c r="AF227" s="24">
        <f t="shared" si="62"/>
        <v>21563.017439128125</v>
      </c>
      <c r="AG227" s="24">
        <f t="shared" si="62"/>
        <v>21660.377623628487</v>
      </c>
      <c r="AH227" s="24">
        <f t="shared" si="62"/>
        <v>21758.711409973854</v>
      </c>
      <c r="AI227" s="24">
        <f t="shared" si="62"/>
        <v>21858.028534182671</v>
      </c>
    </row>
    <row r="230" spans="2:35" x14ac:dyDescent="0.3">
      <c r="B230" s="1" t="s">
        <v>183</v>
      </c>
    </row>
    <row r="231" spans="2:35" x14ac:dyDescent="0.3">
      <c r="B231" s="1"/>
      <c r="E231" t="s">
        <v>184</v>
      </c>
      <c r="J231">
        <f>Time!F25</f>
        <v>0</v>
      </c>
      <c r="K231">
        <f>Time!G25</f>
        <v>1</v>
      </c>
      <c r="L231">
        <f>Time!H25</f>
        <v>2</v>
      </c>
      <c r="M231">
        <f>Time!I25</f>
        <v>3</v>
      </c>
      <c r="N231">
        <f>Time!J25</f>
        <v>4</v>
      </c>
      <c r="O231">
        <f>Time!K25</f>
        <v>5</v>
      </c>
      <c r="P231">
        <f>Time!L25</f>
        <v>6</v>
      </c>
      <c r="Q231">
        <f>Time!M25</f>
        <v>7</v>
      </c>
      <c r="R231">
        <f>Time!N25</f>
        <v>8</v>
      </c>
      <c r="S231">
        <f>Time!O25</f>
        <v>9</v>
      </c>
      <c r="T231">
        <f>Time!P25</f>
        <v>10</v>
      </c>
      <c r="U231">
        <f>Time!Q25</f>
        <v>11</v>
      </c>
      <c r="V231">
        <f>Time!R25</f>
        <v>12</v>
      </c>
      <c r="W231">
        <f>Time!S25</f>
        <v>13</v>
      </c>
      <c r="X231">
        <f>Time!T25</f>
        <v>14</v>
      </c>
      <c r="Y231">
        <f>Time!U25</f>
        <v>15</v>
      </c>
      <c r="Z231">
        <f>Time!V25</f>
        <v>16</v>
      </c>
      <c r="AA231">
        <f>Time!W25</f>
        <v>17</v>
      </c>
      <c r="AB231">
        <f>Time!X25</f>
        <v>18</v>
      </c>
      <c r="AC231">
        <f>Time!Y25</f>
        <v>19</v>
      </c>
      <c r="AD231">
        <f>Time!Z25</f>
        <v>20</v>
      </c>
      <c r="AE231">
        <f>Time!AA25</f>
        <v>21</v>
      </c>
      <c r="AF231">
        <f>Time!AB25</f>
        <v>22</v>
      </c>
      <c r="AG231">
        <f>Time!AC25</f>
        <v>23</v>
      </c>
      <c r="AH231">
        <f>Time!AD25</f>
        <v>24</v>
      </c>
      <c r="AI231">
        <f>Time!AE25</f>
        <v>25</v>
      </c>
    </row>
    <row r="232" spans="2:35" x14ac:dyDescent="0.3">
      <c r="E232" s="10" t="str">
        <f>General!E37</f>
        <v>Discount rate of the project</v>
      </c>
      <c r="F232" s="29">
        <f>General!F37</f>
        <v>0.1</v>
      </c>
      <c r="G232" s="10" t="str">
        <f>General!G37</f>
        <v>%</v>
      </c>
    </row>
    <row r="233" spans="2:35" x14ac:dyDescent="0.3">
      <c r="E233" t="s">
        <v>185</v>
      </c>
      <c r="J233" s="25">
        <f>1 /( 1 + $F232) ^ J$231</f>
        <v>1</v>
      </c>
      <c r="K233" s="25">
        <f>1 /( 1 + $F232) ^ K$231</f>
        <v>0.90909090909090906</v>
      </c>
      <c r="L233" s="25">
        <f>1 /( 1 + $F232) ^ L$231</f>
        <v>0.82644628099173545</v>
      </c>
      <c r="M233" s="25">
        <f>1 /( 1 + $F232) ^ M$231</f>
        <v>0.75131480090157754</v>
      </c>
      <c r="N233" s="25">
        <f t="shared" ref="N233:AI233" si="63">1 /( 1+$F232) ^ N$231</f>
        <v>0.68301345536507052</v>
      </c>
      <c r="O233" s="25">
        <f t="shared" si="63"/>
        <v>0.62092132305915493</v>
      </c>
      <c r="P233" s="25">
        <f t="shared" si="63"/>
        <v>0.56447393005377722</v>
      </c>
      <c r="Q233" s="25">
        <f t="shared" si="63"/>
        <v>0.51315811823070645</v>
      </c>
      <c r="R233" s="25">
        <f t="shared" si="63"/>
        <v>0.46650738020973315</v>
      </c>
      <c r="S233" s="25">
        <f t="shared" si="63"/>
        <v>0.42409761837248466</v>
      </c>
      <c r="T233" s="25">
        <f t="shared" si="63"/>
        <v>0.38554328942953148</v>
      </c>
      <c r="U233" s="25">
        <f t="shared" si="63"/>
        <v>0.3504938994813922</v>
      </c>
      <c r="V233" s="25">
        <f t="shared" si="63"/>
        <v>0.31863081771035656</v>
      </c>
      <c r="W233" s="25">
        <f t="shared" si="63"/>
        <v>0.28966437973668779</v>
      </c>
      <c r="X233" s="25">
        <f t="shared" si="63"/>
        <v>0.26333125430607973</v>
      </c>
      <c r="Y233" s="25">
        <f t="shared" si="63"/>
        <v>0.23939204936916339</v>
      </c>
      <c r="Z233" s="25">
        <f t="shared" si="63"/>
        <v>0.21762913579014853</v>
      </c>
      <c r="AA233" s="25">
        <f t="shared" si="63"/>
        <v>0.19784466890013502</v>
      </c>
      <c r="AB233" s="25">
        <f t="shared" si="63"/>
        <v>0.17985878990921364</v>
      </c>
      <c r="AC233" s="25">
        <f t="shared" si="63"/>
        <v>0.16350799082655781</v>
      </c>
      <c r="AD233" s="25">
        <f t="shared" si="63"/>
        <v>0.14864362802414349</v>
      </c>
      <c r="AE233" s="25">
        <f t="shared" si="63"/>
        <v>0.13513057093103953</v>
      </c>
      <c r="AF233" s="25">
        <f t="shared" si="63"/>
        <v>0.12284597357367227</v>
      </c>
      <c r="AG233" s="25">
        <f t="shared" si="63"/>
        <v>0.11167815779424752</v>
      </c>
      <c r="AH233" s="25">
        <f t="shared" si="63"/>
        <v>0.10152559799477048</v>
      </c>
      <c r="AI233" s="25">
        <f t="shared" si="63"/>
        <v>9.2295998177064048E-2</v>
      </c>
    </row>
    <row r="235" spans="2:35" x14ac:dyDescent="0.3">
      <c r="E235" t="str">
        <f>E47</f>
        <v>TOTAL EXPENDITURE</v>
      </c>
      <c r="G235" t="str">
        <f t="shared" ref="G235:AI235" si="64">G47</f>
        <v>£/year</v>
      </c>
      <c r="H235">
        <f t="shared" si="64"/>
        <v>20291.852864361437</v>
      </c>
      <c r="J235">
        <f t="shared" si="64"/>
        <v>4760</v>
      </c>
      <c r="K235">
        <f t="shared" si="64"/>
        <v>200</v>
      </c>
      <c r="L235">
        <f t="shared" si="64"/>
        <v>206</v>
      </c>
      <c r="M235">
        <f t="shared" si="64"/>
        <v>212.18</v>
      </c>
      <c r="N235">
        <f t="shared" si="64"/>
        <v>218.5454</v>
      </c>
      <c r="O235">
        <f t="shared" si="64"/>
        <v>225.10176200000001</v>
      </c>
      <c r="P235">
        <f t="shared" si="64"/>
        <v>231.85481486</v>
      </c>
      <c r="Q235">
        <f t="shared" si="64"/>
        <v>238.81045930580001</v>
      </c>
      <c r="R235">
        <f t="shared" si="64"/>
        <v>245.974773084974</v>
      </c>
      <c r="S235">
        <f t="shared" si="64"/>
        <v>2653.3540162775234</v>
      </c>
      <c r="T235">
        <f t="shared" si="64"/>
        <v>260.95463676584893</v>
      </c>
      <c r="U235">
        <f t="shared" si="64"/>
        <v>268.78327586882443</v>
      </c>
      <c r="V235">
        <f t="shared" si="64"/>
        <v>276.8467741448892</v>
      </c>
      <c r="W235">
        <f t="shared" si="64"/>
        <v>285.15217736923586</v>
      </c>
      <c r="X235">
        <f t="shared" si="64"/>
        <v>293.70674269031292</v>
      </c>
      <c r="Y235">
        <f t="shared" si="64"/>
        <v>302.5179449710223</v>
      </c>
      <c r="Z235">
        <f t="shared" si="64"/>
        <v>311.59348332015298</v>
      </c>
      <c r="AA235">
        <f t="shared" si="64"/>
        <v>320.94128781975758</v>
      </c>
      <c r="AB235">
        <f t="shared" si="64"/>
        <v>6170.5695264543501</v>
      </c>
      <c r="AC235">
        <f t="shared" si="64"/>
        <v>340.48661224798082</v>
      </c>
      <c r="AD235">
        <f t="shared" si="64"/>
        <v>350.70121061542022</v>
      </c>
      <c r="AE235">
        <f t="shared" si="64"/>
        <v>361.22224693388284</v>
      </c>
      <c r="AF235">
        <f t="shared" si="64"/>
        <v>372.05891434189931</v>
      </c>
      <c r="AG235">
        <f t="shared" si="64"/>
        <v>383.2206817721563</v>
      </c>
      <c r="AH235">
        <f t="shared" si="64"/>
        <v>394.71730222532102</v>
      </c>
      <c r="AI235">
        <f t="shared" si="64"/>
        <v>406.55882129208067</v>
      </c>
    </row>
    <row r="237" spans="2:35" x14ac:dyDescent="0.3">
      <c r="D237" s="1" t="s">
        <v>122</v>
      </c>
    </row>
    <row r="238" spans="2:35" x14ac:dyDescent="0.3">
      <c r="E238" t="str">
        <f>E97</f>
        <v>Total Option 1 revenue</v>
      </c>
      <c r="G238" t="str">
        <f t="shared" ref="G238:AI238" si="65">G97</f>
        <v>£/year</v>
      </c>
      <c r="J238">
        <f t="shared" si="65"/>
        <v>0</v>
      </c>
      <c r="K238" s="24">
        <f>K97</f>
        <v>2520</v>
      </c>
      <c r="L238" s="24">
        <f t="shared" si="65"/>
        <v>2520</v>
      </c>
      <c r="M238" s="24">
        <f t="shared" si="65"/>
        <v>2520</v>
      </c>
      <c r="N238" s="24">
        <f t="shared" si="65"/>
        <v>2520</v>
      </c>
      <c r="O238" s="24">
        <f t="shared" si="65"/>
        <v>2520</v>
      </c>
      <c r="P238" s="24">
        <f t="shared" si="65"/>
        <v>2545.1999999999998</v>
      </c>
      <c r="Q238" s="24">
        <f t="shared" si="65"/>
        <v>2545.1999999999998</v>
      </c>
      <c r="R238" s="24">
        <f t="shared" si="65"/>
        <v>2545.1999999999998</v>
      </c>
      <c r="S238" s="24">
        <f t="shared" si="65"/>
        <v>2545.1999999999998</v>
      </c>
      <c r="T238" s="24">
        <f t="shared" si="65"/>
        <v>2545.1999999999998</v>
      </c>
      <c r="U238" s="24">
        <f t="shared" si="65"/>
        <v>2545.1999999999998</v>
      </c>
      <c r="V238" s="24">
        <f t="shared" si="65"/>
        <v>2545.1999999999998</v>
      </c>
      <c r="W238" s="24">
        <f t="shared" si="65"/>
        <v>2545.1999999999998</v>
      </c>
      <c r="X238" s="24">
        <f t="shared" si="65"/>
        <v>2545.1999999999998</v>
      </c>
      <c r="Y238" s="24">
        <f t="shared" si="65"/>
        <v>2545.1999999999998</v>
      </c>
      <c r="Z238" s="24">
        <f t="shared" si="65"/>
        <v>2545.1999999999998</v>
      </c>
      <c r="AA238" s="24">
        <f t="shared" si="65"/>
        <v>2545.1999999999998</v>
      </c>
      <c r="AB238" s="24">
        <f t="shared" si="65"/>
        <v>2545.1999999999998</v>
      </c>
      <c r="AC238" s="24">
        <f t="shared" si="65"/>
        <v>2545.1999999999998</v>
      </c>
      <c r="AD238" s="24">
        <f t="shared" si="65"/>
        <v>2545.1999999999998</v>
      </c>
      <c r="AE238" s="24">
        <f t="shared" si="65"/>
        <v>2545.1999999999998</v>
      </c>
      <c r="AF238" s="24">
        <f t="shared" si="65"/>
        <v>2545.1999999999998</v>
      </c>
      <c r="AG238" s="24">
        <f t="shared" si="65"/>
        <v>2545.1999999999998</v>
      </c>
      <c r="AH238" s="24">
        <f t="shared" si="65"/>
        <v>2545.1999999999998</v>
      </c>
      <c r="AI238" s="24">
        <f t="shared" si="65"/>
        <v>2545.1999999999998</v>
      </c>
    </row>
    <row r="239" spans="2:35" x14ac:dyDescent="0.3">
      <c r="E239" t="s">
        <v>186</v>
      </c>
      <c r="G239" s="12" t="str">
        <f>$F$3</f>
        <v>£</v>
      </c>
      <c r="J239">
        <f>(J$238-J235)</f>
        <v>-4760</v>
      </c>
      <c r="K239">
        <f t="shared" ref="K239:AI239" si="66">(K$238-K235)</f>
        <v>2320</v>
      </c>
      <c r="L239">
        <f>(L$238-L235)</f>
        <v>2314</v>
      </c>
      <c r="M239">
        <f t="shared" si="66"/>
        <v>2307.8200000000002</v>
      </c>
      <c r="N239">
        <f t="shared" si="66"/>
        <v>2301.4546</v>
      </c>
      <c r="O239">
        <f t="shared" si="66"/>
        <v>2294.8982379999998</v>
      </c>
      <c r="P239">
        <f t="shared" si="66"/>
        <v>2313.34518514</v>
      </c>
      <c r="Q239">
        <f t="shared" si="66"/>
        <v>2306.3895406941997</v>
      </c>
      <c r="R239">
        <f t="shared" si="66"/>
        <v>2299.2252269150258</v>
      </c>
      <c r="S239">
        <f t="shared" si="66"/>
        <v>-108.15401627752362</v>
      </c>
      <c r="T239">
        <f t="shared" si="66"/>
        <v>2284.2453632341508</v>
      </c>
      <c r="U239">
        <f t="shared" si="66"/>
        <v>2276.4167241311752</v>
      </c>
      <c r="V239">
        <f t="shared" si="66"/>
        <v>2268.3532258551104</v>
      </c>
      <c r="W239">
        <f t="shared" si="66"/>
        <v>2260.0478226307641</v>
      </c>
      <c r="X239">
        <f t="shared" si="66"/>
        <v>2251.4932573096867</v>
      </c>
      <c r="Y239">
        <f t="shared" si="66"/>
        <v>2242.6820550289776</v>
      </c>
      <c r="Z239">
        <f t="shared" si="66"/>
        <v>2233.6065166798467</v>
      </c>
      <c r="AA239">
        <f t="shared" si="66"/>
        <v>2224.2587121802421</v>
      </c>
      <c r="AB239">
        <f t="shared" si="66"/>
        <v>-3625.3695264543503</v>
      </c>
      <c r="AC239">
        <f t="shared" si="66"/>
        <v>2204.7133877520191</v>
      </c>
      <c r="AD239">
        <f t="shared" si="66"/>
        <v>2194.4987893845796</v>
      </c>
      <c r="AE239">
        <f t="shared" si="66"/>
        <v>2183.9777530661167</v>
      </c>
      <c r="AF239">
        <f t="shared" si="66"/>
        <v>2173.1410856581006</v>
      </c>
      <c r="AG239">
        <f t="shared" si="66"/>
        <v>2161.9793182278436</v>
      </c>
      <c r="AH239">
        <f t="shared" si="66"/>
        <v>2150.4826977746789</v>
      </c>
      <c r="AI239">
        <f t="shared" si="66"/>
        <v>2138.6411787079192</v>
      </c>
    </row>
    <row r="240" spans="2:35" x14ac:dyDescent="0.3">
      <c r="E240" s="35" t="str">
        <f xml:space="preserve"> "Cumulative Cashflow (Option 1) - " &amp; $F$3</f>
        <v>Cumulative Cashflow (Option 1) - £</v>
      </c>
      <c r="G240" s="12" t="str">
        <f>$F$3</f>
        <v>£</v>
      </c>
      <c r="J240">
        <f>I240+J239</f>
        <v>-4760</v>
      </c>
      <c r="K240">
        <f t="shared" ref="K240:AI240" si="67">J240+K239</f>
        <v>-2440</v>
      </c>
      <c r="L240">
        <f t="shared" si="67"/>
        <v>-126</v>
      </c>
      <c r="M240">
        <f t="shared" si="67"/>
        <v>2181.8200000000002</v>
      </c>
      <c r="N240">
        <f t="shared" si="67"/>
        <v>4483.2746000000006</v>
      </c>
      <c r="O240">
        <f t="shared" si="67"/>
        <v>6778.1728380000004</v>
      </c>
      <c r="P240">
        <f t="shared" si="67"/>
        <v>9091.5180231400009</v>
      </c>
      <c r="Q240">
        <f t="shared" si="67"/>
        <v>11397.9075638342</v>
      </c>
      <c r="R240">
        <f t="shared" si="67"/>
        <v>13697.132790749227</v>
      </c>
      <c r="S240">
        <f t="shared" si="67"/>
        <v>13588.978774471703</v>
      </c>
      <c r="T240">
        <f t="shared" si="67"/>
        <v>15873.224137705854</v>
      </c>
      <c r="U240">
        <f t="shared" si="67"/>
        <v>18149.64086183703</v>
      </c>
      <c r="V240">
        <f t="shared" si="67"/>
        <v>20417.994087692139</v>
      </c>
      <c r="W240">
        <f t="shared" si="67"/>
        <v>22678.041910322903</v>
      </c>
      <c r="X240">
        <f t="shared" si="67"/>
        <v>24929.535167632588</v>
      </c>
      <c r="Y240">
        <f t="shared" si="67"/>
        <v>27172.217222661566</v>
      </c>
      <c r="Z240">
        <f t="shared" si="67"/>
        <v>29405.823739341413</v>
      </c>
      <c r="AA240">
        <f t="shared" si="67"/>
        <v>31630.082451521655</v>
      </c>
      <c r="AB240">
        <f t="shared" si="67"/>
        <v>28004.712925067306</v>
      </c>
      <c r="AC240">
        <f t="shared" si="67"/>
        <v>30209.426312819327</v>
      </c>
      <c r="AD240">
        <f t="shared" si="67"/>
        <v>32403.925102203906</v>
      </c>
      <c r="AE240">
        <f t="shared" si="67"/>
        <v>34587.902855270026</v>
      </c>
      <c r="AF240">
        <f t="shared" si="67"/>
        <v>36761.043940928124</v>
      </c>
      <c r="AG240">
        <f t="shared" si="67"/>
        <v>38923.023259155969</v>
      </c>
      <c r="AH240">
        <f t="shared" si="67"/>
        <v>41073.505956930647</v>
      </c>
      <c r="AI240">
        <f t="shared" si="67"/>
        <v>43212.147135638566</v>
      </c>
    </row>
    <row r="241" spans="4:35" x14ac:dyDescent="0.3">
      <c r="E241" t="s">
        <v>338</v>
      </c>
      <c r="G241" t="str">
        <f>$F$3&amp;"/year"</f>
        <v>£/year</v>
      </c>
      <c r="J241" s="24">
        <f>(J$238-J235)*J$233</f>
        <v>-4760</v>
      </c>
      <c r="K241" s="24">
        <f t="shared" ref="K241:AI241" si="68">(K$238-K235)*K$233</f>
        <v>2109.090909090909</v>
      </c>
      <c r="L241" s="24">
        <f t="shared" si="68"/>
        <v>1912.3966942148759</v>
      </c>
      <c r="M241" s="24">
        <f t="shared" si="68"/>
        <v>1733.8993238166788</v>
      </c>
      <c r="N241" s="24">
        <f t="shared" si="68"/>
        <v>1571.9244587118362</v>
      </c>
      <c r="O241" s="24">
        <f t="shared" si="68"/>
        <v>1424.9512502250832</v>
      </c>
      <c r="P241" s="24">
        <f t="shared" si="68"/>
        <v>1305.8230482269587</v>
      </c>
      <c r="Q241" s="24">
        <f t="shared" si="68"/>
        <v>1183.5425166096188</v>
      </c>
      <c r="R241" s="24">
        <f t="shared" si="68"/>
        <v>1072.6055371202578</v>
      </c>
      <c r="S241" s="24">
        <f t="shared" si="68"/>
        <v>-45.867860720716706</v>
      </c>
      <c r="T241" s="24">
        <f t="shared" si="68"/>
        <v>880.67547120544941</v>
      </c>
      <c r="U241" s="24">
        <f t="shared" si="68"/>
        <v>797.87017448539223</v>
      </c>
      <c r="V241" s="24">
        <f t="shared" si="68"/>
        <v>722.76724321013899</v>
      </c>
      <c r="W241" s="24">
        <f t="shared" si="68"/>
        <v>654.65535071759211</v>
      </c>
      <c r="X241" s="24">
        <f t="shared" si="68"/>
        <v>592.88854350904091</v>
      </c>
      <c r="Y241" s="24">
        <f t="shared" si="68"/>
        <v>536.88025323683382</v>
      </c>
      <c r="Z241" s="24">
        <f t="shared" si="68"/>
        <v>486.09785592027902</v>
      </c>
      <c r="AA241" s="24">
        <f t="shared" si="68"/>
        <v>440.05772845954073</v>
      </c>
      <c r="AB241" s="24">
        <f t="shared" si="68"/>
        <v>-652.0545760018183</v>
      </c>
      <c r="AC241" s="24">
        <f t="shared" si="68"/>
        <v>360.48825637974636</v>
      </c>
      <c r="AD241" s="24">
        <f t="shared" si="68"/>
        <v>326.19826174871469</v>
      </c>
      <c r="AE241" s="24">
        <f t="shared" si="68"/>
        <v>295.12216067251325</v>
      </c>
      <c r="AF241" s="24">
        <f t="shared" si="68"/>
        <v>266.96163238061649</v>
      </c>
      <c r="AG241" s="24">
        <f t="shared" si="68"/>
        <v>241.44586744894877</v>
      </c>
      <c r="AH241" s="24">
        <f t="shared" si="68"/>
        <v>218.32904186898156</v>
      </c>
      <c r="AI241" s="24">
        <f t="shared" si="68"/>
        <v>197.38802233142022</v>
      </c>
    </row>
    <row r="242" spans="4:35" x14ac:dyDescent="0.3">
      <c r="E242" s="35" t="str">
        <f xml:space="preserve"> "Cumulative Discounted Cashflow (Option 1) - " &amp; $F$3</f>
        <v>Cumulative Discounted Cashflow (Option 1) - £</v>
      </c>
      <c r="G242" s="1" t="str">
        <f>$F$3</f>
        <v>£</v>
      </c>
      <c r="J242" s="24">
        <f>J241</f>
        <v>-4760</v>
      </c>
      <c r="K242" s="24">
        <f>J242+K241</f>
        <v>-2650.909090909091</v>
      </c>
      <c r="L242" s="24">
        <f t="shared" ref="L242:AI242" si="69">K242+L241</f>
        <v>-738.51239669421511</v>
      </c>
      <c r="M242" s="24">
        <f t="shared" si="69"/>
        <v>995.3869271224637</v>
      </c>
      <c r="N242" s="24">
        <f t="shared" si="69"/>
        <v>2567.3113858342999</v>
      </c>
      <c r="O242" s="24">
        <f t="shared" si="69"/>
        <v>3992.2626360593831</v>
      </c>
      <c r="P242" s="24">
        <f t="shared" si="69"/>
        <v>5298.0856842863413</v>
      </c>
      <c r="Q242" s="24">
        <f t="shared" si="69"/>
        <v>6481.6282008959606</v>
      </c>
      <c r="R242" s="24">
        <f t="shared" si="69"/>
        <v>7554.2337380162189</v>
      </c>
      <c r="S242" s="24">
        <f t="shared" si="69"/>
        <v>7508.3658772955023</v>
      </c>
      <c r="T242" s="24">
        <f t="shared" si="69"/>
        <v>8389.0413485009522</v>
      </c>
      <c r="U242" s="24">
        <f t="shared" si="69"/>
        <v>9186.9115229863437</v>
      </c>
      <c r="V242" s="24">
        <f t="shared" si="69"/>
        <v>9909.6787661964827</v>
      </c>
      <c r="W242" s="24">
        <f t="shared" si="69"/>
        <v>10564.334116914075</v>
      </c>
      <c r="X242" s="24">
        <f t="shared" si="69"/>
        <v>11157.222660423116</v>
      </c>
      <c r="Y242" s="24">
        <f t="shared" si="69"/>
        <v>11694.10291365995</v>
      </c>
      <c r="Z242" s="24">
        <f t="shared" si="69"/>
        <v>12180.200769580229</v>
      </c>
      <c r="AA242" s="24">
        <f t="shared" si="69"/>
        <v>12620.25849803977</v>
      </c>
      <c r="AB242" s="24">
        <f t="shared" si="69"/>
        <v>11968.203922037952</v>
      </c>
      <c r="AC242" s="24">
        <f t="shared" si="69"/>
        <v>12328.692178417698</v>
      </c>
      <c r="AD242" s="24">
        <f t="shared" si="69"/>
        <v>12654.890440166411</v>
      </c>
      <c r="AE242" s="24">
        <f t="shared" si="69"/>
        <v>12950.012600838925</v>
      </c>
      <c r="AF242" s="24">
        <f t="shared" si="69"/>
        <v>13216.974233219542</v>
      </c>
      <c r="AG242" s="24">
        <f t="shared" si="69"/>
        <v>13458.420100668491</v>
      </c>
      <c r="AH242" s="24">
        <f t="shared" si="69"/>
        <v>13676.749142537472</v>
      </c>
      <c r="AI242" s="24">
        <f t="shared" si="69"/>
        <v>13874.137164868893</v>
      </c>
    </row>
    <row r="243" spans="4:35" x14ac:dyDescent="0.3">
      <c r="E243" s="1" t="s">
        <v>187</v>
      </c>
      <c r="F243" s="30">
        <f>SUM(J241:AI241)</f>
        <v>13874.137164868893</v>
      </c>
      <c r="G243" s="1" t="str">
        <f>$F$3</f>
        <v>£</v>
      </c>
    </row>
    <row r="244" spans="4:35" x14ac:dyDescent="0.3">
      <c r="E244" s="1" t="s">
        <v>188</v>
      </c>
      <c r="F244" s="31">
        <f>IRR(J241:AI241)</f>
        <v>0.34328496030825217</v>
      </c>
      <c r="G244" s="1" t="s">
        <v>38</v>
      </c>
    </row>
    <row r="246" spans="4:35" x14ac:dyDescent="0.3">
      <c r="D246" s="1" t="s">
        <v>132</v>
      </c>
    </row>
    <row r="247" spans="4:35" x14ac:dyDescent="0.3">
      <c r="E247" t="str">
        <f>E136</f>
        <v>Total Option 2 revenue</v>
      </c>
      <c r="G247" t="str">
        <f>G136</f>
        <v>£/year</v>
      </c>
      <c r="J247" s="24">
        <f t="shared" ref="J247:Y247" si="70">J136</f>
        <v>0</v>
      </c>
      <c r="K247" s="24">
        <f t="shared" si="70"/>
        <v>10080</v>
      </c>
      <c r="L247" s="24">
        <f t="shared" si="70"/>
        <v>10180.799999999999</v>
      </c>
      <c r="M247" s="24">
        <f t="shared" si="70"/>
        <v>10282.608</v>
      </c>
      <c r="N247" s="24">
        <f t="shared" si="70"/>
        <v>10385.434080000001</v>
      </c>
      <c r="O247" s="24">
        <f t="shared" si="70"/>
        <v>10489.2884208</v>
      </c>
      <c r="P247" s="24">
        <f t="shared" si="70"/>
        <v>10700.12311805808</v>
      </c>
      <c r="Q247" s="24">
        <f t="shared" si="70"/>
        <v>10807.12434923866</v>
      </c>
      <c r="R247" s="24">
        <f t="shared" si="70"/>
        <v>10915.195592731048</v>
      </c>
      <c r="S247" s="24">
        <f t="shared" si="70"/>
        <v>11024.347548658357</v>
      </c>
      <c r="T247" s="24">
        <f t="shared" si="70"/>
        <v>11134.591024144942</v>
      </c>
      <c r="U247" s="24">
        <f t="shared" si="70"/>
        <v>11414.625988402186</v>
      </c>
      <c r="V247" s="24">
        <f t="shared" si="70"/>
        <v>11528.772248286208</v>
      </c>
      <c r="W247" s="24">
        <f t="shared" si="70"/>
        <v>11644.059970769071</v>
      </c>
      <c r="X247" s="24">
        <f t="shared" si="70"/>
        <v>11760.500570476761</v>
      </c>
      <c r="Y247" s="24">
        <f t="shared" si="70"/>
        <v>11878.10557618153</v>
      </c>
      <c r="Z247" s="24">
        <f t="shared" ref="Z247:AI247" si="71">Z136</f>
        <v>12176.839931422492</v>
      </c>
      <c r="AA247" s="24">
        <f t="shared" si="71"/>
        <v>12298.608330736717</v>
      </c>
      <c r="AB247" s="24">
        <f t="shared" si="71"/>
        <v>12421.594414044084</v>
      </c>
      <c r="AC247" s="24">
        <f t="shared" si="71"/>
        <v>12545.810358184526</v>
      </c>
      <c r="AD247" s="24">
        <f t="shared" si="71"/>
        <v>12671.268461766369</v>
      </c>
      <c r="AE247" s="24">
        <f t="shared" si="71"/>
        <v>12989.950863579794</v>
      </c>
      <c r="AF247" s="24">
        <f t="shared" si="71"/>
        <v>13119.850372215593</v>
      </c>
      <c r="AG247" s="24">
        <f t="shared" si="71"/>
        <v>13251.048875937748</v>
      </c>
      <c r="AH247" s="24">
        <f t="shared" si="71"/>
        <v>13383.559364697125</v>
      </c>
      <c r="AI247" s="24">
        <f t="shared" si="71"/>
        <v>13517.394958344097</v>
      </c>
    </row>
    <row r="248" spans="4:35" x14ac:dyDescent="0.3">
      <c r="E248" t="s">
        <v>186</v>
      </c>
      <c r="G248" s="12" t="str">
        <f>$F$3</f>
        <v>£</v>
      </c>
      <c r="J248" s="24">
        <f>(J$247-J235)</f>
        <v>-4760</v>
      </c>
      <c r="K248" s="24">
        <f t="shared" ref="K248:AI248" si="72">(K$247-K235)</f>
        <v>9880</v>
      </c>
      <c r="L248" s="24">
        <f t="shared" si="72"/>
        <v>9974.7999999999993</v>
      </c>
      <c r="M248" s="24">
        <f t="shared" si="72"/>
        <v>10070.428</v>
      </c>
      <c r="N248" s="24">
        <f t="shared" si="72"/>
        <v>10166.88868</v>
      </c>
      <c r="O248" s="24">
        <f t="shared" si="72"/>
        <v>10264.186658799999</v>
      </c>
      <c r="P248" s="24">
        <f t="shared" si="72"/>
        <v>10468.26830319808</v>
      </c>
      <c r="Q248" s="24">
        <f t="shared" si="72"/>
        <v>10568.313889932861</v>
      </c>
      <c r="R248" s="24">
        <f t="shared" si="72"/>
        <v>10669.220819646074</v>
      </c>
      <c r="S248" s="24">
        <f t="shared" si="72"/>
        <v>8370.9935323808349</v>
      </c>
      <c r="T248" s="24">
        <f t="shared" si="72"/>
        <v>10873.636387379092</v>
      </c>
      <c r="U248" s="24">
        <f t="shared" si="72"/>
        <v>11145.842712533362</v>
      </c>
      <c r="V248" s="24">
        <f t="shared" si="72"/>
        <v>11251.925474141319</v>
      </c>
      <c r="W248" s="24">
        <f t="shared" si="72"/>
        <v>11358.907793399834</v>
      </c>
      <c r="X248" s="24">
        <f t="shared" si="72"/>
        <v>11466.793827786449</v>
      </c>
      <c r="Y248" s="24">
        <f t="shared" si="72"/>
        <v>11575.587631210507</v>
      </c>
      <c r="Z248" s="24">
        <f t="shared" si="72"/>
        <v>11865.246448102338</v>
      </c>
      <c r="AA248" s="24">
        <f t="shared" si="72"/>
        <v>11977.667042916959</v>
      </c>
      <c r="AB248" s="24">
        <f t="shared" si="72"/>
        <v>6251.0248875897341</v>
      </c>
      <c r="AC248" s="24">
        <f t="shared" si="72"/>
        <v>12205.323745936545</v>
      </c>
      <c r="AD248" s="24">
        <f t="shared" si="72"/>
        <v>12320.567251150949</v>
      </c>
      <c r="AE248" s="24">
        <f t="shared" si="72"/>
        <v>12628.728616645911</v>
      </c>
      <c r="AF248" s="24">
        <f t="shared" si="72"/>
        <v>12747.791457873693</v>
      </c>
      <c r="AG248" s="24">
        <f t="shared" si="72"/>
        <v>12867.828194165591</v>
      </c>
      <c r="AH248" s="24">
        <f t="shared" si="72"/>
        <v>12988.842062471804</v>
      </c>
      <c r="AI248" s="24">
        <f t="shared" si="72"/>
        <v>13110.836137052016</v>
      </c>
    </row>
    <row r="249" spans="4:35" x14ac:dyDescent="0.3">
      <c r="E249" s="35" t="str">
        <f xml:space="preserve"> "Cumulative Cashflow (Option 2) - " &amp; $F$3</f>
        <v>Cumulative Cashflow (Option 2) - £</v>
      </c>
      <c r="G249" s="12" t="str">
        <f>$F$3</f>
        <v>£</v>
      </c>
      <c r="J249" s="24">
        <f>I249+J248</f>
        <v>-4760</v>
      </c>
      <c r="K249" s="24">
        <f t="shared" ref="K249:AI249" si="73">J249+K248</f>
        <v>5120</v>
      </c>
      <c r="L249" s="24">
        <f t="shared" si="73"/>
        <v>15094.8</v>
      </c>
      <c r="M249" s="24">
        <f t="shared" si="73"/>
        <v>25165.227999999999</v>
      </c>
      <c r="N249" s="24">
        <f t="shared" si="73"/>
        <v>35332.116679999999</v>
      </c>
      <c r="O249" s="24">
        <f t="shared" si="73"/>
        <v>45596.303338799997</v>
      </c>
      <c r="P249" s="24">
        <f t="shared" si="73"/>
        <v>56064.571641998074</v>
      </c>
      <c r="Q249" s="24">
        <f t="shared" si="73"/>
        <v>66632.885531930937</v>
      </c>
      <c r="R249" s="24">
        <f t="shared" si="73"/>
        <v>77302.106351577007</v>
      </c>
      <c r="S249" s="24">
        <f t="shared" si="73"/>
        <v>85673.099883957839</v>
      </c>
      <c r="T249" s="24">
        <f t="shared" si="73"/>
        <v>96546.736271336937</v>
      </c>
      <c r="U249" s="24">
        <f t="shared" si="73"/>
        <v>107692.57898387031</v>
      </c>
      <c r="V249" s="24">
        <f t="shared" si="73"/>
        <v>118944.50445801162</v>
      </c>
      <c r="W249" s="24">
        <f t="shared" si="73"/>
        <v>130303.41225141146</v>
      </c>
      <c r="X249" s="24">
        <f t="shared" si="73"/>
        <v>141770.2060791979</v>
      </c>
      <c r="Y249" s="24">
        <f t="shared" si="73"/>
        <v>153345.79371040841</v>
      </c>
      <c r="Z249" s="24">
        <f t="shared" si="73"/>
        <v>165211.04015851076</v>
      </c>
      <c r="AA249" s="24">
        <f t="shared" si="73"/>
        <v>177188.70720142772</v>
      </c>
      <c r="AB249" s="24">
        <f t="shared" si="73"/>
        <v>183439.73208901746</v>
      </c>
      <c r="AC249" s="24">
        <f t="shared" si="73"/>
        <v>195645.05583495399</v>
      </c>
      <c r="AD249" s="24">
        <f t="shared" si="73"/>
        <v>207965.62308610496</v>
      </c>
      <c r="AE249" s="24">
        <f t="shared" si="73"/>
        <v>220594.35170275086</v>
      </c>
      <c r="AF249" s="24">
        <f t="shared" si="73"/>
        <v>233342.14316062455</v>
      </c>
      <c r="AG249" s="24">
        <f t="shared" si="73"/>
        <v>246209.97135479015</v>
      </c>
      <c r="AH249" s="24">
        <f t="shared" si="73"/>
        <v>259198.81341726196</v>
      </c>
      <c r="AI249" s="24">
        <f t="shared" si="73"/>
        <v>272309.64955431398</v>
      </c>
    </row>
    <row r="250" spans="4:35" x14ac:dyDescent="0.3">
      <c r="E250" t="s">
        <v>338</v>
      </c>
      <c r="G250" t="str">
        <f>$F$3&amp;"/year"</f>
        <v>£/year</v>
      </c>
      <c r="J250" s="24">
        <f t="shared" ref="J250:Y250" si="74">(J$247-J235)*J$233</f>
        <v>-4760</v>
      </c>
      <c r="K250" s="24">
        <f t="shared" si="74"/>
        <v>8981.818181818182</v>
      </c>
      <c r="L250" s="24">
        <f t="shared" si="74"/>
        <v>8243.6363636363621</v>
      </c>
      <c r="M250" s="24">
        <f t="shared" si="74"/>
        <v>7566.0616078136718</v>
      </c>
      <c r="N250" s="24">
        <f t="shared" si="74"/>
        <v>6944.1217676388205</v>
      </c>
      <c r="O250" s="24">
        <f t="shared" si="74"/>
        <v>6373.2523603082227</v>
      </c>
      <c r="P250" s="24">
        <f t="shared" si="74"/>
        <v>5909.0645499636057</v>
      </c>
      <c r="Q250" s="24">
        <f t="shared" si="74"/>
        <v>5423.2160686293837</v>
      </c>
      <c r="R250" s="24">
        <f t="shared" si="74"/>
        <v>4977.2702534522323</v>
      </c>
      <c r="S250" s="24">
        <f t="shared" si="74"/>
        <v>3550.1184204941846</v>
      </c>
      <c r="T250" s="24">
        <f t="shared" si="74"/>
        <v>4192.2575408507828</v>
      </c>
      <c r="U250" s="24">
        <f t="shared" si="74"/>
        <v>3906.5498753220759</v>
      </c>
      <c r="V250" s="24">
        <f t="shared" si="74"/>
        <v>3585.2102146416401</v>
      </c>
      <c r="W250" s="24">
        <f t="shared" si="74"/>
        <v>3290.2709804613919</v>
      </c>
      <c r="X250" s="24">
        <f t="shared" si="74"/>
        <v>3019.5652015402188</v>
      </c>
      <c r="Y250" s="24">
        <f t="shared" si="74"/>
        <v>2771.1036456878228</v>
      </c>
      <c r="Z250" s="24">
        <f t="shared" ref="Z250:AI250" si="75">(Z$247-Z235)*Z$233</f>
        <v>2582.2233304376414</v>
      </c>
      <c r="AA250" s="24">
        <f t="shared" si="75"/>
        <v>2369.7175703019652</v>
      </c>
      <c r="AB250" s="24">
        <f t="shared" si="75"/>
        <v>1124.3017719742677</v>
      </c>
      <c r="AC250" s="24">
        <f t="shared" si="75"/>
        <v>1995.6679630857607</v>
      </c>
      <c r="AD250" s="24">
        <f t="shared" si="75"/>
        <v>1831.3738155265257</v>
      </c>
      <c r="AE250" s="24">
        <f t="shared" si="75"/>
        <v>1706.5273081005189</v>
      </c>
      <c r="AF250" s="24">
        <f t="shared" si="75"/>
        <v>1566.0148525566367</v>
      </c>
      <c r="AG250" s="24">
        <f t="shared" si="75"/>
        <v>1437.0553475372919</v>
      </c>
      <c r="AH250" s="24">
        <f t="shared" si="75"/>
        <v>1318.699957652078</v>
      </c>
      <c r="AI250" s="24">
        <f t="shared" si="75"/>
        <v>1210.0777082051384</v>
      </c>
    </row>
    <row r="251" spans="4:35" x14ac:dyDescent="0.3">
      <c r="E251" t="str">
        <f xml:space="preserve"> "Cumulative Discounted Cashflow (Option 2) - " &amp; $F$3</f>
        <v>Cumulative Discounted Cashflow (Option 2) - £</v>
      </c>
      <c r="G251" s="1" t="str">
        <f>$F$3</f>
        <v>£</v>
      </c>
      <c r="J251" s="24">
        <f>J250</f>
        <v>-4760</v>
      </c>
      <c r="K251" s="24">
        <f t="shared" ref="K251:AI251" si="76">J251+K250</f>
        <v>4221.818181818182</v>
      </c>
      <c r="L251" s="24">
        <f t="shared" si="76"/>
        <v>12465.454545454544</v>
      </c>
      <c r="M251" s="24">
        <f t="shared" si="76"/>
        <v>20031.516153268218</v>
      </c>
      <c r="N251" s="24">
        <f t="shared" si="76"/>
        <v>26975.637920907036</v>
      </c>
      <c r="O251" s="24">
        <f t="shared" si="76"/>
        <v>33348.890281215259</v>
      </c>
      <c r="P251" s="24">
        <f t="shared" si="76"/>
        <v>39257.954831178868</v>
      </c>
      <c r="Q251" s="24">
        <f t="shared" si="76"/>
        <v>44681.170899808254</v>
      </c>
      <c r="R251" s="24">
        <f t="shared" si="76"/>
        <v>49658.441153260486</v>
      </c>
      <c r="S251" s="24">
        <f t="shared" si="76"/>
        <v>53208.559573754668</v>
      </c>
      <c r="T251" s="24">
        <f t="shared" si="76"/>
        <v>57400.817114605452</v>
      </c>
      <c r="U251" s="24">
        <f t="shared" si="76"/>
        <v>61307.366989927526</v>
      </c>
      <c r="V251" s="24">
        <f t="shared" si="76"/>
        <v>64892.57720456917</v>
      </c>
      <c r="W251" s="24">
        <f t="shared" si="76"/>
        <v>68182.848185030569</v>
      </c>
      <c r="X251" s="24">
        <f t="shared" si="76"/>
        <v>71202.413386570784</v>
      </c>
      <c r="Y251" s="24">
        <f t="shared" si="76"/>
        <v>73973.517032258605</v>
      </c>
      <c r="Z251" s="24">
        <f t="shared" si="76"/>
        <v>76555.740362696248</v>
      </c>
      <c r="AA251" s="24">
        <f t="shared" si="76"/>
        <v>78925.457932998208</v>
      </c>
      <c r="AB251" s="24">
        <f t="shared" si="76"/>
        <v>80049.759704972472</v>
      </c>
      <c r="AC251" s="24">
        <f t="shared" si="76"/>
        <v>82045.427668058226</v>
      </c>
      <c r="AD251" s="24">
        <f t="shared" si="76"/>
        <v>83876.801483584757</v>
      </c>
      <c r="AE251" s="24">
        <f t="shared" si="76"/>
        <v>85583.328791685271</v>
      </c>
      <c r="AF251" s="24">
        <f t="shared" si="76"/>
        <v>87149.343644241904</v>
      </c>
      <c r="AG251" s="24">
        <f t="shared" si="76"/>
        <v>88586.398991779191</v>
      </c>
      <c r="AH251" s="24">
        <f t="shared" si="76"/>
        <v>89905.098949431267</v>
      </c>
      <c r="AI251" s="24">
        <f t="shared" si="76"/>
        <v>91115.176657636403</v>
      </c>
    </row>
    <row r="252" spans="4:35" x14ac:dyDescent="0.3">
      <c r="E252" s="1" t="s">
        <v>189</v>
      </c>
      <c r="F252" s="30">
        <f>SUM(J250:AI250)</f>
        <v>91115.176657636403</v>
      </c>
      <c r="G252" s="1" t="str">
        <f>$F$3</f>
        <v>£</v>
      </c>
    </row>
    <row r="253" spans="4:35" x14ac:dyDescent="0.3">
      <c r="E253" s="1" t="s">
        <v>190</v>
      </c>
      <c r="F253" s="31">
        <f>IRR(J250:AI250)</f>
        <v>1.8047819445589313</v>
      </c>
      <c r="G253" s="1" t="s">
        <v>38</v>
      </c>
    </row>
    <row r="255" spans="4:35" x14ac:dyDescent="0.3">
      <c r="D255" s="1" t="s">
        <v>173</v>
      </c>
    </row>
    <row r="256" spans="4:35" x14ac:dyDescent="0.3">
      <c r="E256" t="str">
        <f>E227</f>
        <v>Total Option 3 revenue</v>
      </c>
      <c r="G256" t="str">
        <f>G227</f>
        <v>£/year</v>
      </c>
      <c r="H256">
        <f>H227</f>
        <v>506071.21778568934</v>
      </c>
      <c r="J256" s="24">
        <f>J227</f>
        <v>0</v>
      </c>
      <c r="K256" s="24">
        <f t="shared" ref="K256:Y256" si="77">K227</f>
        <v>18748.8</v>
      </c>
      <c r="L256" s="24">
        <f t="shared" si="77"/>
        <v>18824.400000000001</v>
      </c>
      <c r="M256" s="24">
        <f t="shared" si="77"/>
        <v>18900.756000000001</v>
      </c>
      <c r="N256" s="24">
        <f t="shared" si="77"/>
        <v>18977.87556</v>
      </c>
      <c r="O256" s="24">
        <f t="shared" si="77"/>
        <v>19055.766315599998</v>
      </c>
      <c r="P256" s="24">
        <f t="shared" si="77"/>
        <v>19325.780338543558</v>
      </c>
      <c r="Q256" s="24">
        <f t="shared" si="77"/>
        <v>19406.031261928994</v>
      </c>
      <c r="R256" s="24">
        <f t="shared" si="77"/>
        <v>19487.084694548284</v>
      </c>
      <c r="S256" s="24">
        <f t="shared" si="77"/>
        <v>19568.948661493767</v>
      </c>
      <c r="T256" s="24">
        <f t="shared" si="77"/>
        <v>19651.631268108707</v>
      </c>
      <c r="U256" s="24">
        <f t="shared" si="77"/>
        <v>20031.167811301639</v>
      </c>
      <c r="V256" s="24">
        <f t="shared" si="77"/>
        <v>20116.777506214654</v>
      </c>
      <c r="W256" s="24">
        <f t="shared" si="77"/>
        <v>20203.243298076799</v>
      </c>
      <c r="X256" s="24">
        <f t="shared" si="77"/>
        <v>20290.573747857568</v>
      </c>
      <c r="Y256" s="24">
        <f t="shared" si="77"/>
        <v>20378.777502136145</v>
      </c>
      <c r="Z256" s="24">
        <f t="shared" ref="Z256:AI256" si="78">Z227</f>
        <v>20774.881243366865</v>
      </c>
      <c r="AA256" s="24">
        <f t="shared" si="78"/>
        <v>20866.207542852535</v>
      </c>
      <c r="AB256" s="24">
        <f t="shared" si="78"/>
        <v>20958.44710533306</v>
      </c>
      <c r="AC256" s="24">
        <f t="shared" si="78"/>
        <v>21051.609063438387</v>
      </c>
      <c r="AD256" s="24">
        <f t="shared" si="78"/>
        <v>21145.702641124772</v>
      </c>
      <c r="AE256" s="24">
        <f t="shared" si="78"/>
        <v>21466.621216850541</v>
      </c>
      <c r="AF256" s="24">
        <f t="shared" si="78"/>
        <v>21563.017439128125</v>
      </c>
      <c r="AG256" s="24">
        <f t="shared" si="78"/>
        <v>21660.377623628487</v>
      </c>
      <c r="AH256" s="24">
        <f t="shared" si="78"/>
        <v>21758.711409973854</v>
      </c>
      <c r="AI256" s="24">
        <f t="shared" si="78"/>
        <v>21858.028534182671</v>
      </c>
    </row>
    <row r="257" spans="2:35" x14ac:dyDescent="0.3">
      <c r="E257" t="s">
        <v>186</v>
      </c>
      <c r="G257" s="12" t="str">
        <f>$F$3</f>
        <v>£</v>
      </c>
      <c r="J257" s="24">
        <f>(J$256-J235)</f>
        <v>-4760</v>
      </c>
      <c r="K257" s="24">
        <f t="shared" ref="K257:AI257" si="79">(K$256-K235)</f>
        <v>18548.8</v>
      </c>
      <c r="L257" s="24">
        <f t="shared" si="79"/>
        <v>18618.400000000001</v>
      </c>
      <c r="M257" s="24">
        <f t="shared" si="79"/>
        <v>18688.576000000001</v>
      </c>
      <c r="N257" s="24">
        <f t="shared" si="79"/>
        <v>18759.330160000001</v>
      </c>
      <c r="O257" s="24">
        <f t="shared" si="79"/>
        <v>18830.6645536</v>
      </c>
      <c r="P257" s="24">
        <f t="shared" si="79"/>
        <v>19093.92552368356</v>
      </c>
      <c r="Q257" s="24">
        <f t="shared" si="79"/>
        <v>19167.220802623193</v>
      </c>
      <c r="R257" s="24">
        <f>(R$256-R235)</f>
        <v>19241.10992146331</v>
      </c>
      <c r="S257" s="24">
        <f t="shared" si="79"/>
        <v>16915.594645216242</v>
      </c>
      <c r="T257" s="24">
        <f t="shared" si="79"/>
        <v>19390.67663134286</v>
      </c>
      <c r="U257" s="24">
        <f t="shared" si="79"/>
        <v>19762.384535432815</v>
      </c>
      <c r="V257" s="24">
        <f t="shared" si="79"/>
        <v>19839.930732069766</v>
      </c>
      <c r="W257" s="24">
        <f t="shared" si="79"/>
        <v>19918.091120707562</v>
      </c>
      <c r="X257" s="24">
        <f t="shared" si="79"/>
        <v>19996.867005167256</v>
      </c>
      <c r="Y257" s="24">
        <f t="shared" si="79"/>
        <v>20076.259557165122</v>
      </c>
      <c r="Z257" s="24">
        <f t="shared" si="79"/>
        <v>20463.287760046711</v>
      </c>
      <c r="AA257" s="24">
        <f t="shared" si="79"/>
        <v>20545.266255032777</v>
      </c>
      <c r="AB257" s="24">
        <f t="shared" si="79"/>
        <v>14787.87757887871</v>
      </c>
      <c r="AC257" s="24">
        <f t="shared" si="79"/>
        <v>20711.122451190407</v>
      </c>
      <c r="AD257" s="24">
        <f t="shared" si="79"/>
        <v>20795.00143050935</v>
      </c>
      <c r="AE257" s="24">
        <f t="shared" si="79"/>
        <v>21105.39896991666</v>
      </c>
      <c r="AF257" s="24">
        <f t="shared" si="79"/>
        <v>21190.958524786227</v>
      </c>
      <c r="AG257" s="24">
        <f t="shared" si="79"/>
        <v>21277.15694185633</v>
      </c>
      <c r="AH257" s="24">
        <f t="shared" si="79"/>
        <v>21363.994107748531</v>
      </c>
      <c r="AI257" s="24">
        <f t="shared" si="79"/>
        <v>21451.46971289059</v>
      </c>
    </row>
    <row r="258" spans="2:35" x14ac:dyDescent="0.3">
      <c r="E258" s="35" t="str">
        <f xml:space="preserve"> "Cumulative Cashflow (Option 3) - " &amp; $F$3</f>
        <v>Cumulative Cashflow (Option 3) - £</v>
      </c>
      <c r="G258" s="12" t="str">
        <f>$F$3</f>
        <v>£</v>
      </c>
      <c r="J258" s="24">
        <f>I258+J257</f>
        <v>-4760</v>
      </c>
      <c r="K258" s="24">
        <f t="shared" ref="K258:AI258" si="80">J258+K257</f>
        <v>13788.8</v>
      </c>
      <c r="L258" s="24">
        <f t="shared" si="80"/>
        <v>32407.200000000001</v>
      </c>
      <c r="M258" s="24">
        <f t="shared" si="80"/>
        <v>51095.775999999998</v>
      </c>
      <c r="N258" s="24">
        <f t="shared" si="80"/>
        <v>69855.106159999996</v>
      </c>
      <c r="O258" s="24">
        <f t="shared" si="80"/>
        <v>88685.770713599995</v>
      </c>
      <c r="P258" s="24">
        <f t="shared" si="80"/>
        <v>107779.69623728356</v>
      </c>
      <c r="Q258" s="24">
        <f t="shared" si="80"/>
        <v>126946.91703990675</v>
      </c>
      <c r="R258" s="24">
        <f t="shared" si="80"/>
        <v>146188.02696137005</v>
      </c>
      <c r="S258" s="24">
        <f t="shared" si="80"/>
        <v>163103.6216065863</v>
      </c>
      <c r="T258" s="24">
        <f t="shared" si="80"/>
        <v>182494.29823792915</v>
      </c>
      <c r="U258" s="24">
        <f t="shared" si="80"/>
        <v>202256.68277336197</v>
      </c>
      <c r="V258" s="24">
        <f>U258+V257</f>
        <v>222096.61350543174</v>
      </c>
      <c r="W258" s="24">
        <f t="shared" si="80"/>
        <v>242014.70462613931</v>
      </c>
      <c r="X258" s="24">
        <f t="shared" si="80"/>
        <v>262011.57163130658</v>
      </c>
      <c r="Y258" s="24">
        <f t="shared" si="80"/>
        <v>282087.8311884717</v>
      </c>
      <c r="Z258" s="24">
        <f t="shared" si="80"/>
        <v>302551.11894851841</v>
      </c>
      <c r="AA258" s="24">
        <f t="shared" si="80"/>
        <v>323096.38520355121</v>
      </c>
      <c r="AB258" s="24">
        <f t="shared" si="80"/>
        <v>337884.26278242993</v>
      </c>
      <c r="AC258" s="24">
        <f t="shared" si="80"/>
        <v>358595.38523362036</v>
      </c>
      <c r="AD258" s="24">
        <f t="shared" si="80"/>
        <v>379390.38666412968</v>
      </c>
      <c r="AE258" s="24">
        <f t="shared" si="80"/>
        <v>400495.78563404636</v>
      </c>
      <c r="AF258" s="24">
        <f t="shared" si="80"/>
        <v>421686.74415883259</v>
      </c>
      <c r="AG258" s="24">
        <f t="shared" si="80"/>
        <v>442963.9011006889</v>
      </c>
      <c r="AH258" s="24">
        <f t="shared" si="80"/>
        <v>464327.89520843746</v>
      </c>
      <c r="AI258" s="24">
        <f t="shared" si="80"/>
        <v>485779.36492132803</v>
      </c>
    </row>
    <row r="259" spans="2:35" x14ac:dyDescent="0.3">
      <c r="E259" t="s">
        <v>338</v>
      </c>
      <c r="G259" t="str">
        <f>$F$3&amp;"/year"</f>
        <v>£/year</v>
      </c>
      <c r="J259" s="24">
        <f t="shared" ref="J259:Y259" si="81">(J$256-J235)*J$233</f>
        <v>-4760</v>
      </c>
      <c r="K259" s="24">
        <f t="shared" si="81"/>
        <v>16862.545454545452</v>
      </c>
      <c r="L259" s="24">
        <f t="shared" si="81"/>
        <v>15387.107438016528</v>
      </c>
      <c r="M259" s="24">
        <f t="shared" si="81"/>
        <v>14041.003756574</v>
      </c>
      <c r="N259" s="24">
        <f t="shared" si="81"/>
        <v>12812.874912915782</v>
      </c>
      <c r="O259" s="24">
        <f t="shared" si="81"/>
        <v>11692.361148704444</v>
      </c>
      <c r="P259" s="24">
        <f t="shared" si="81"/>
        <v>10778.023180507786</v>
      </c>
      <c r="Q259" s="24">
        <f t="shared" si="81"/>
        <v>9835.8149587865682</v>
      </c>
      <c r="R259" s="24">
        <f>(R$256-R235)*R$233</f>
        <v>8976.1197817893535</v>
      </c>
      <c r="S259" s="24">
        <f t="shared" si="81"/>
        <v>7173.8634023905634</v>
      </c>
      <c r="T259" s="24">
        <f t="shared" si="81"/>
        <v>7475.945252712273</v>
      </c>
      <c r="U259" s="24">
        <f t="shared" si="81"/>
        <v>6926.5952188746087</v>
      </c>
      <c r="V259" s="24">
        <f t="shared" si="81"/>
        <v>6321.6133524762226</v>
      </c>
      <c r="W259" s="24">
        <f t="shared" si="81"/>
        <v>5769.5615100185851</v>
      </c>
      <c r="X259" s="24">
        <f t="shared" si="81"/>
        <v>5265.8000706625535</v>
      </c>
      <c r="Y259" s="24">
        <f t="shared" si="81"/>
        <v>4806.0969190570113</v>
      </c>
      <c r="Z259" s="24">
        <f t="shared" ref="Z259:AI259" si="82">(Z$256-Z235)*Z$233</f>
        <v>4453.4076306440902</v>
      </c>
      <c r="AA259" s="24">
        <f t="shared" si="82"/>
        <v>4064.7713996920766</v>
      </c>
      <c r="AB259" s="24">
        <f t="shared" si="82"/>
        <v>2659.7297666627169</v>
      </c>
      <c r="AC259" s="24">
        <f t="shared" si="82"/>
        <v>3386.4340197569568</v>
      </c>
      <c r="AD259" s="24">
        <f t="shared" si="82"/>
        <v>3091.0444573981636</v>
      </c>
      <c r="AE259" s="24">
        <f t="shared" si="82"/>
        <v>2851.9846125322119</v>
      </c>
      <c r="AF259" s="24">
        <f t="shared" si="82"/>
        <v>2603.2239309366742</v>
      </c>
      <c r="AG259" s="24">
        <f t="shared" si="82"/>
        <v>2376.1936903656001</v>
      </c>
      <c r="AH259" s="24">
        <f t="shared" si="82"/>
        <v>2168.9922773459225</v>
      </c>
      <c r="AI259" s="24">
        <f t="shared" si="82"/>
        <v>1979.8848095162946</v>
      </c>
    </row>
    <row r="260" spans="2:35" x14ac:dyDescent="0.3">
      <c r="E260" t="str">
        <f xml:space="preserve"> "Cumulative Discunted Cashflow (Option 3) - " &amp; $F$3</f>
        <v>Cumulative Discunted Cashflow (Option 3) - £</v>
      </c>
      <c r="G260" s="1" t="str">
        <f>$F$3</f>
        <v>£</v>
      </c>
      <c r="J260" s="24">
        <f>J259</f>
        <v>-4760</v>
      </c>
      <c r="K260" s="24">
        <f t="shared" ref="K260:AI260" si="83">J260+K259</f>
        <v>12102.545454545452</v>
      </c>
      <c r="L260" s="24">
        <f t="shared" si="83"/>
        <v>27489.652892561979</v>
      </c>
      <c r="M260" s="24">
        <f t="shared" si="83"/>
        <v>41530.656649135977</v>
      </c>
      <c r="N260" s="24">
        <f t="shared" si="83"/>
        <v>54343.531562051758</v>
      </c>
      <c r="O260" s="24">
        <f t="shared" si="83"/>
        <v>66035.892710756205</v>
      </c>
      <c r="P260" s="24">
        <f t="shared" si="83"/>
        <v>76813.915891263983</v>
      </c>
      <c r="Q260" s="24">
        <f t="shared" si="83"/>
        <v>86649.730850050546</v>
      </c>
      <c r="R260" s="24">
        <f t="shared" si="83"/>
        <v>95625.850631839901</v>
      </c>
      <c r="S260" s="24">
        <f t="shared" si="83"/>
        <v>102799.71403423046</v>
      </c>
      <c r="T260" s="24">
        <f t="shared" si="83"/>
        <v>110275.65928694274</v>
      </c>
      <c r="U260" s="24">
        <f t="shared" si="83"/>
        <v>117202.25450581734</v>
      </c>
      <c r="V260" s="24">
        <f t="shared" si="83"/>
        <v>123523.86785829357</v>
      </c>
      <c r="W260" s="24">
        <f t="shared" si="83"/>
        <v>129293.42936831215</v>
      </c>
      <c r="X260" s="24">
        <f t="shared" si="83"/>
        <v>134559.2294389747</v>
      </c>
      <c r="Y260" s="24">
        <f t="shared" si="83"/>
        <v>139365.32635803171</v>
      </c>
      <c r="Z260" s="24">
        <f t="shared" si="83"/>
        <v>143818.73398867581</v>
      </c>
      <c r="AA260" s="24">
        <f t="shared" si="83"/>
        <v>147883.50538836789</v>
      </c>
      <c r="AB260" s="24">
        <f t="shared" si="83"/>
        <v>150543.23515503062</v>
      </c>
      <c r="AC260" s="24">
        <f t="shared" si="83"/>
        <v>153929.66917478759</v>
      </c>
      <c r="AD260" s="24">
        <f t="shared" si="83"/>
        <v>157020.71363218574</v>
      </c>
      <c r="AE260" s="24">
        <f t="shared" si="83"/>
        <v>159872.69824471796</v>
      </c>
      <c r="AF260" s="24">
        <f t="shared" si="83"/>
        <v>162475.92217565465</v>
      </c>
      <c r="AG260" s="24">
        <f t="shared" si="83"/>
        <v>164852.11586602023</v>
      </c>
      <c r="AH260" s="24">
        <f t="shared" si="83"/>
        <v>167021.10814336615</v>
      </c>
      <c r="AI260" s="24">
        <f t="shared" si="83"/>
        <v>169000.99295288243</v>
      </c>
    </row>
    <row r="261" spans="2:35" x14ac:dyDescent="0.3">
      <c r="E261" s="1" t="s">
        <v>197</v>
      </c>
      <c r="F261" s="30">
        <f>SUM(J259:AI259)</f>
        <v>169000.99295288243</v>
      </c>
      <c r="G261" s="1" t="str">
        <f>$F$3</f>
        <v>£</v>
      </c>
    </row>
    <row r="262" spans="2:35" x14ac:dyDescent="0.3">
      <c r="E262" s="1" t="s">
        <v>198</v>
      </c>
      <c r="F262" s="31">
        <f>IRR(J259:AI259)</f>
        <v>3.4550694187910516</v>
      </c>
      <c r="G262" s="1" t="s">
        <v>38</v>
      </c>
    </row>
    <row r="265" spans="2:35" x14ac:dyDescent="0.3">
      <c r="F265" s="1" t="s">
        <v>295</v>
      </c>
      <c r="G265" s="1" t="s">
        <v>132</v>
      </c>
      <c r="H265" s="1" t="s">
        <v>173</v>
      </c>
    </row>
    <row r="266" spans="2:35" x14ac:dyDescent="0.3">
      <c r="E266" s="1" t="s">
        <v>296</v>
      </c>
      <c r="F266">
        <f>F243</f>
        <v>13874.137164868893</v>
      </c>
      <c r="G266" s="119">
        <f>F252</f>
        <v>91115.176657636403</v>
      </c>
      <c r="H266">
        <f>F261</f>
        <v>169000.99295288243</v>
      </c>
    </row>
    <row r="267" spans="2:35" x14ac:dyDescent="0.3">
      <c r="E267" s="1" t="s">
        <v>297</v>
      </c>
      <c r="F267" s="25">
        <f>F244</f>
        <v>0.34328496030825217</v>
      </c>
      <c r="G267" s="120">
        <f>F253</f>
        <v>1.8047819445589313</v>
      </c>
      <c r="H267" s="25">
        <f>F262</f>
        <v>3.4550694187910516</v>
      </c>
    </row>
    <row r="271" spans="2:35" x14ac:dyDescent="0.3">
      <c r="B271" s="1" t="s">
        <v>336</v>
      </c>
    </row>
    <row r="272" spans="2:35" x14ac:dyDescent="0.3">
      <c r="E272" t="s">
        <v>334</v>
      </c>
      <c r="F272">
        <f>H235</f>
        <v>20291.852864361437</v>
      </c>
      <c r="G272" s="1" t="str">
        <f>$F$3</f>
        <v>£</v>
      </c>
    </row>
    <row r="273" spans="2:7" x14ac:dyDescent="0.3">
      <c r="E273" s="93" t="s">
        <v>335</v>
      </c>
      <c r="F273">
        <f>Energy!H62</f>
        <v>1701709.8420195871</v>
      </c>
      <c r="G273" t="s">
        <v>319</v>
      </c>
    </row>
    <row r="274" spans="2:7" x14ac:dyDescent="0.3">
      <c r="E274" t="s">
        <v>337</v>
      </c>
      <c r="F274" s="165">
        <f>F272/F273</f>
        <v>1.192439061190308E-2</v>
      </c>
      <c r="G274" s="12" t="str">
        <f>$G$101</f>
        <v>£/kWh</v>
      </c>
    </row>
    <row r="276" spans="2:7" x14ac:dyDescent="0.3">
      <c r="B276" s="1" t="s">
        <v>240</v>
      </c>
    </row>
    <row r="278" spans="2:7" x14ac:dyDescent="0.3">
      <c r="E278" s="10" t="str">
        <f>General!E27</f>
        <v xml:space="preserve">Fuel used to meet power demands - commercial </v>
      </c>
      <c r="F278" s="10" t="str">
        <f>General!F27</f>
        <v>Kerosene</v>
      </c>
      <c r="G278" s="10"/>
    </row>
    <row r="279" spans="2:7" x14ac:dyDescent="0.3">
      <c r="E279" s="10" t="str">
        <f>General!E28</f>
        <v>Litres of fuel used per day</v>
      </c>
      <c r="F279" s="10">
        <f>General!F28</f>
        <v>15</v>
      </c>
      <c r="G279" s="10" t="str">
        <f>General!G28</f>
        <v>litres/month/property or kg/month/property</v>
      </c>
    </row>
    <row r="280" spans="2:7" x14ac:dyDescent="0.3">
      <c r="E280" s="10" t="str">
        <f>General!E29</f>
        <v>Cost of fuel</v>
      </c>
      <c r="F280" s="10">
        <f>General!F29</f>
        <v>20</v>
      </c>
      <c r="G280" s="10" t="str">
        <f>General!G29</f>
        <v>£ per property /month</v>
      </c>
    </row>
    <row r="281" spans="2:7" x14ac:dyDescent="0.3">
      <c r="E281" s="10" t="str">
        <f>General!E22</f>
        <v>Number of commercial properties to be connected by the microgrid</v>
      </c>
      <c r="F281" s="10">
        <f>General!F22</f>
        <v>12</v>
      </c>
      <c r="G281" s="10"/>
    </row>
    <row r="283" spans="2:7" x14ac:dyDescent="0.3">
      <c r="E283" s="10" t="str">
        <f>General!E31</f>
        <v>Fuel used to meet power demands - residential</v>
      </c>
      <c r="F283" s="10" t="str">
        <f>General!F31</f>
        <v>Kerosene</v>
      </c>
      <c r="G283" s="10"/>
    </row>
    <row r="284" spans="2:7" x14ac:dyDescent="0.3">
      <c r="E284" s="10" t="str">
        <f>General!E32</f>
        <v>Litres of fuel used per day</v>
      </c>
      <c r="F284" s="10">
        <f>General!F32</f>
        <v>15</v>
      </c>
      <c r="G284" s="10" t="str">
        <f>General!G32</f>
        <v>litres/month/home or kg/month/home</v>
      </c>
    </row>
    <row r="285" spans="2:7" x14ac:dyDescent="0.3">
      <c r="E285" s="10" t="str">
        <f>General!E33</f>
        <v>Cost of fuel</v>
      </c>
      <c r="F285" s="10">
        <f>General!F33</f>
        <v>20</v>
      </c>
      <c r="G285" s="10" t="str">
        <f>General!G33</f>
        <v>£ per property/month</v>
      </c>
    </row>
    <row r="286" spans="2:7" x14ac:dyDescent="0.3">
      <c r="E286" s="10" t="str">
        <f>General!E19</f>
        <v>Number of homes to be connected to the microgrid</v>
      </c>
      <c r="F286" s="10">
        <f>General!F19</f>
        <v>30</v>
      </c>
    </row>
    <row r="288" spans="2:7" x14ac:dyDescent="0.3">
      <c r="E288" s="10" t="str">
        <f>'Revenue &amp; Electricity Consump'!E19</f>
        <v>Possible growth in commercial load every year</v>
      </c>
      <c r="F288" s="16">
        <f>'Revenue &amp; Electricity Consump'!F19</f>
        <v>0.01</v>
      </c>
      <c r="G288" s="10" t="str">
        <f>'Revenue &amp; Electricity Consump'!G19</f>
        <v>%</v>
      </c>
    </row>
    <row r="289" spans="1:35" x14ac:dyDescent="0.3">
      <c r="E289" s="10" t="str">
        <f>'Revenue &amp; Electricity Consump'!E20</f>
        <v>Possible growth in residential load every year</v>
      </c>
      <c r="F289" s="16">
        <f>'Revenue &amp; Electricity Consump'!F20</f>
        <v>0.01</v>
      </c>
      <c r="G289" s="10" t="str">
        <f>'Revenue &amp; Electricity Consump'!G20</f>
        <v>%</v>
      </c>
    </row>
    <row r="291" spans="1:35" x14ac:dyDescent="0.3">
      <c r="E291" s="10" t="str">
        <f>Cashflow!E97</f>
        <v>Total Option 1 revenue</v>
      </c>
      <c r="F291" s="10">
        <f>Cashflow!F97</f>
        <v>0</v>
      </c>
      <c r="G291" s="10" t="str">
        <f>Cashflow!G97</f>
        <v>£/year</v>
      </c>
      <c r="H291" s="10">
        <f>Cashflow!H97</f>
        <v>63503.999999999971</v>
      </c>
      <c r="I291" s="10">
        <f>Cashflow!I97</f>
        <v>0</v>
      </c>
      <c r="J291" s="10">
        <f>Cashflow!J97</f>
        <v>0</v>
      </c>
      <c r="K291" s="10">
        <f>Cashflow!K97</f>
        <v>2520</v>
      </c>
      <c r="L291" s="10">
        <f>Cashflow!L97</f>
        <v>2520</v>
      </c>
      <c r="M291" s="10">
        <f>Cashflow!M97</f>
        <v>2520</v>
      </c>
      <c r="N291" s="10">
        <f>Cashflow!N97</f>
        <v>2520</v>
      </c>
      <c r="O291" s="10">
        <f>Cashflow!O97</f>
        <v>2520</v>
      </c>
      <c r="P291" s="10">
        <f>Cashflow!P97</f>
        <v>2545.1999999999998</v>
      </c>
      <c r="Q291" s="10">
        <f>Cashflow!Q97</f>
        <v>2545.1999999999998</v>
      </c>
      <c r="R291" s="10">
        <f>Cashflow!R97</f>
        <v>2545.1999999999998</v>
      </c>
      <c r="S291" s="10">
        <f>Cashflow!S97</f>
        <v>2545.1999999999998</v>
      </c>
      <c r="T291" s="10">
        <f>Cashflow!T97</f>
        <v>2545.1999999999998</v>
      </c>
      <c r="U291" s="10">
        <f>Cashflow!U97</f>
        <v>2545.1999999999998</v>
      </c>
      <c r="V291" s="10">
        <f>Cashflow!V97</f>
        <v>2545.1999999999998</v>
      </c>
      <c r="W291" s="10">
        <f>Cashflow!W97</f>
        <v>2545.1999999999998</v>
      </c>
      <c r="X291" s="10">
        <f>Cashflow!X97</f>
        <v>2545.1999999999998</v>
      </c>
      <c r="Y291" s="10">
        <f>Cashflow!Y97</f>
        <v>2545.1999999999998</v>
      </c>
      <c r="Z291" s="10">
        <f>Cashflow!Z97</f>
        <v>2545.1999999999998</v>
      </c>
      <c r="AA291" s="10">
        <f>Cashflow!AA97</f>
        <v>2545.1999999999998</v>
      </c>
      <c r="AB291" s="10">
        <f>Cashflow!AB97</f>
        <v>2545.1999999999998</v>
      </c>
      <c r="AC291" s="10">
        <f>Cashflow!AC97</f>
        <v>2545.1999999999998</v>
      </c>
      <c r="AD291" s="10">
        <f>Cashflow!AD97</f>
        <v>2545.1999999999998</v>
      </c>
      <c r="AE291" s="10">
        <f>Cashflow!AE97</f>
        <v>2545.1999999999998</v>
      </c>
      <c r="AF291" s="10">
        <f>Cashflow!AF97</f>
        <v>2545.1999999999998</v>
      </c>
      <c r="AG291" s="10">
        <f>Cashflow!AG97</f>
        <v>2545.1999999999998</v>
      </c>
      <c r="AH291" s="10">
        <f>Cashflow!AH97</f>
        <v>2545.1999999999998</v>
      </c>
      <c r="AI291" s="10">
        <f>Cashflow!AI97</f>
        <v>2545.1999999999998</v>
      </c>
    </row>
    <row r="292" spans="1:35" x14ac:dyDescent="0.3">
      <c r="E292" s="10" t="str">
        <f t="shared" ref="E292:AI292" si="84">E136</f>
        <v>Total Option 2 revenue</v>
      </c>
      <c r="F292" s="10">
        <f t="shared" si="84"/>
        <v>0</v>
      </c>
      <c r="G292" s="10" t="str">
        <f t="shared" si="84"/>
        <v>£/year</v>
      </c>
      <c r="H292" s="10">
        <f t="shared" si="84"/>
        <v>292601.5024186754</v>
      </c>
      <c r="I292" s="10">
        <f t="shared" si="84"/>
        <v>0</v>
      </c>
      <c r="J292" s="10">
        <f t="shared" si="84"/>
        <v>0</v>
      </c>
      <c r="K292" s="10">
        <f t="shared" ref="K292:Y292" si="85">K136</f>
        <v>10080</v>
      </c>
      <c r="L292" s="10">
        <f t="shared" si="85"/>
        <v>10180.799999999999</v>
      </c>
      <c r="M292" s="10">
        <f t="shared" si="85"/>
        <v>10282.608</v>
      </c>
      <c r="N292" s="10">
        <f t="shared" si="85"/>
        <v>10385.434080000001</v>
      </c>
      <c r="O292" s="10">
        <f t="shared" si="85"/>
        <v>10489.2884208</v>
      </c>
      <c r="P292" s="10">
        <f t="shared" si="85"/>
        <v>10700.12311805808</v>
      </c>
      <c r="Q292" s="10">
        <f t="shared" si="85"/>
        <v>10807.12434923866</v>
      </c>
      <c r="R292" s="10">
        <f t="shared" si="85"/>
        <v>10915.195592731048</v>
      </c>
      <c r="S292" s="10">
        <f t="shared" si="85"/>
        <v>11024.347548658357</v>
      </c>
      <c r="T292" s="10">
        <f t="shared" si="85"/>
        <v>11134.591024144942</v>
      </c>
      <c r="U292" s="10">
        <f t="shared" si="85"/>
        <v>11414.625988402186</v>
      </c>
      <c r="V292" s="10">
        <f t="shared" si="85"/>
        <v>11528.772248286208</v>
      </c>
      <c r="W292" s="10">
        <f t="shared" si="85"/>
        <v>11644.059970769071</v>
      </c>
      <c r="X292" s="10">
        <f t="shared" si="85"/>
        <v>11760.500570476761</v>
      </c>
      <c r="Y292" s="10">
        <f t="shared" si="85"/>
        <v>11878.10557618153</v>
      </c>
      <c r="Z292" s="10">
        <f t="shared" si="84"/>
        <v>12176.839931422492</v>
      </c>
      <c r="AA292" s="10">
        <f t="shared" si="84"/>
        <v>12298.608330736717</v>
      </c>
      <c r="AB292" s="10">
        <f t="shared" si="84"/>
        <v>12421.594414044084</v>
      </c>
      <c r="AC292" s="10">
        <f t="shared" si="84"/>
        <v>12545.810358184526</v>
      </c>
      <c r="AD292" s="10">
        <f t="shared" si="84"/>
        <v>12671.268461766369</v>
      </c>
      <c r="AE292" s="10">
        <f t="shared" si="84"/>
        <v>12989.950863579794</v>
      </c>
      <c r="AF292" s="10">
        <f t="shared" si="84"/>
        <v>13119.850372215593</v>
      </c>
      <c r="AG292" s="10">
        <f t="shared" si="84"/>
        <v>13251.048875937748</v>
      </c>
      <c r="AH292" s="10">
        <f t="shared" si="84"/>
        <v>13383.559364697125</v>
      </c>
      <c r="AI292" s="10">
        <f t="shared" si="84"/>
        <v>13517.394958344097</v>
      </c>
    </row>
    <row r="293" spans="1:35" x14ac:dyDescent="0.3">
      <c r="E293" s="10" t="str">
        <f t="shared" ref="E293:AI293" si="86">E227</f>
        <v>Total Option 3 revenue</v>
      </c>
      <c r="F293" s="10">
        <f t="shared" si="86"/>
        <v>0</v>
      </c>
      <c r="G293" s="10" t="str">
        <f t="shared" si="86"/>
        <v>£/year</v>
      </c>
      <c r="H293" s="10">
        <f t="shared" si="86"/>
        <v>506071.21778568934</v>
      </c>
      <c r="I293" s="10">
        <f t="shared" si="86"/>
        <v>0</v>
      </c>
      <c r="J293" s="10">
        <f t="shared" si="86"/>
        <v>0</v>
      </c>
      <c r="K293" s="10">
        <f t="shared" ref="K293:Y293" si="87">K227</f>
        <v>18748.8</v>
      </c>
      <c r="L293" s="10">
        <f t="shared" si="87"/>
        <v>18824.400000000001</v>
      </c>
      <c r="M293" s="10">
        <f t="shared" si="87"/>
        <v>18900.756000000001</v>
      </c>
      <c r="N293" s="10">
        <f t="shared" si="87"/>
        <v>18977.87556</v>
      </c>
      <c r="O293" s="10">
        <f t="shared" si="87"/>
        <v>19055.766315599998</v>
      </c>
      <c r="P293" s="10">
        <f t="shared" si="87"/>
        <v>19325.780338543558</v>
      </c>
      <c r="Q293" s="10">
        <f t="shared" si="87"/>
        <v>19406.031261928994</v>
      </c>
      <c r="R293" s="10">
        <f t="shared" si="87"/>
        <v>19487.084694548284</v>
      </c>
      <c r="S293" s="10">
        <f t="shared" si="87"/>
        <v>19568.948661493767</v>
      </c>
      <c r="T293" s="10">
        <f t="shared" si="87"/>
        <v>19651.631268108707</v>
      </c>
      <c r="U293" s="10">
        <f t="shared" si="87"/>
        <v>20031.167811301639</v>
      </c>
      <c r="V293" s="10">
        <f t="shared" si="87"/>
        <v>20116.777506214654</v>
      </c>
      <c r="W293" s="10">
        <f t="shared" si="87"/>
        <v>20203.243298076799</v>
      </c>
      <c r="X293" s="10">
        <f t="shared" si="87"/>
        <v>20290.573747857568</v>
      </c>
      <c r="Y293" s="10">
        <f t="shared" si="87"/>
        <v>20378.777502136145</v>
      </c>
      <c r="Z293" s="10">
        <f t="shared" si="86"/>
        <v>20774.881243366865</v>
      </c>
      <c r="AA293" s="10">
        <f t="shared" si="86"/>
        <v>20866.207542852535</v>
      </c>
      <c r="AB293" s="10">
        <f t="shared" si="86"/>
        <v>20958.44710533306</v>
      </c>
      <c r="AC293" s="10">
        <f t="shared" si="86"/>
        <v>21051.609063438387</v>
      </c>
      <c r="AD293" s="10">
        <f t="shared" si="86"/>
        <v>21145.702641124772</v>
      </c>
      <c r="AE293" s="10">
        <f t="shared" si="86"/>
        <v>21466.621216850541</v>
      </c>
      <c r="AF293" s="10">
        <f t="shared" si="86"/>
        <v>21563.017439128125</v>
      </c>
      <c r="AG293" s="10">
        <f t="shared" si="86"/>
        <v>21660.377623628487</v>
      </c>
      <c r="AH293" s="10">
        <f t="shared" si="86"/>
        <v>21758.711409973854</v>
      </c>
      <c r="AI293" s="10">
        <f t="shared" si="86"/>
        <v>21858.028534182671</v>
      </c>
    </row>
    <row r="295" spans="1:35" s="40" customFormat="1" x14ac:dyDescent="0.3">
      <c r="E295" s="40" t="s">
        <v>243</v>
      </c>
      <c r="J295" s="40">
        <f>F285*F286*12</f>
        <v>7200</v>
      </c>
      <c r="K295" s="40">
        <f>J295*(1+$F$289)</f>
        <v>7272</v>
      </c>
      <c r="L295" s="40">
        <f t="shared" ref="L295:AI295" si="88">K295*(1+$F$289)</f>
        <v>7344.72</v>
      </c>
      <c r="M295" s="40">
        <f t="shared" si="88"/>
        <v>7418.1672000000008</v>
      </c>
      <c r="N295" s="40">
        <f t="shared" si="88"/>
        <v>7492.3488720000005</v>
      </c>
      <c r="O295" s="40">
        <f t="shared" si="88"/>
        <v>7567.2723607200005</v>
      </c>
      <c r="P295" s="40">
        <f t="shared" si="88"/>
        <v>7642.9450843272007</v>
      </c>
      <c r="Q295" s="40">
        <f t="shared" si="88"/>
        <v>7719.3745351704729</v>
      </c>
      <c r="R295" s="40">
        <f t="shared" si="88"/>
        <v>7796.5682805221777</v>
      </c>
      <c r="S295" s="40">
        <f t="shared" si="88"/>
        <v>7874.5339633273998</v>
      </c>
      <c r="T295" s="40">
        <f t="shared" si="88"/>
        <v>7953.2793029606737</v>
      </c>
      <c r="U295" s="40">
        <f t="shared" si="88"/>
        <v>8032.8120959902808</v>
      </c>
      <c r="V295" s="40">
        <f t="shared" si="88"/>
        <v>8113.1402169501835</v>
      </c>
      <c r="W295" s="40">
        <f t="shared" si="88"/>
        <v>8194.2716191196851</v>
      </c>
      <c r="X295" s="40">
        <f t="shared" si="88"/>
        <v>8276.2143353108822</v>
      </c>
      <c r="Y295" s="40">
        <f t="shared" si="88"/>
        <v>8358.9764786639917</v>
      </c>
      <c r="Z295" s="40">
        <f>Y295*(1+$F$289)</f>
        <v>8442.5662434506321</v>
      </c>
      <c r="AA295" s="40">
        <f t="shared" si="88"/>
        <v>8526.9919058851392</v>
      </c>
      <c r="AB295" s="40">
        <f t="shared" si="88"/>
        <v>8612.2618249439911</v>
      </c>
      <c r="AC295" s="40">
        <f t="shared" si="88"/>
        <v>8698.3844431934303</v>
      </c>
      <c r="AD295" s="40">
        <f t="shared" si="88"/>
        <v>8785.3682876253642</v>
      </c>
      <c r="AE295" s="40">
        <f t="shared" si="88"/>
        <v>8873.2219705016178</v>
      </c>
      <c r="AF295" s="40">
        <f t="shared" si="88"/>
        <v>8961.9541902066339</v>
      </c>
      <c r="AG295" s="40">
        <f t="shared" si="88"/>
        <v>9051.5737321086999</v>
      </c>
      <c r="AH295" s="40">
        <f t="shared" si="88"/>
        <v>9142.0894694297876</v>
      </c>
      <c r="AI295" s="40">
        <f t="shared" si="88"/>
        <v>9233.5103641240858</v>
      </c>
    </row>
    <row r="296" spans="1:35" s="40" customFormat="1" x14ac:dyDescent="0.3">
      <c r="E296" s="40" t="s">
        <v>244</v>
      </c>
      <c r="J296" s="40">
        <f>F280*12*F281</f>
        <v>2880</v>
      </c>
      <c r="K296" s="40">
        <f>J296*(1+$F$288)</f>
        <v>2908.8</v>
      </c>
      <c r="L296" s="40">
        <f t="shared" ref="L296:AI296" si="89">K296*(1+$F$288)</f>
        <v>2937.8880000000004</v>
      </c>
      <c r="M296" s="40">
        <f t="shared" si="89"/>
        <v>2967.2668800000006</v>
      </c>
      <c r="N296" s="40">
        <f t="shared" si="89"/>
        <v>2996.9395488000005</v>
      </c>
      <c r="O296" s="40">
        <f t="shared" si="89"/>
        <v>3026.9089442880004</v>
      </c>
      <c r="P296" s="40">
        <f t="shared" si="89"/>
        <v>3057.1780337308805</v>
      </c>
      <c r="Q296" s="40">
        <f t="shared" si="89"/>
        <v>3087.7498140681892</v>
      </c>
      <c r="R296" s="40">
        <f t="shared" si="89"/>
        <v>3118.627312208871</v>
      </c>
      <c r="S296" s="40">
        <f t="shared" si="89"/>
        <v>3149.8135853309595</v>
      </c>
      <c r="T296" s="40">
        <f t="shared" si="89"/>
        <v>3181.3117211842691</v>
      </c>
      <c r="U296" s="40">
        <f t="shared" si="89"/>
        <v>3213.124838396112</v>
      </c>
      <c r="V296" s="40">
        <f t="shared" si="89"/>
        <v>3245.256086780073</v>
      </c>
      <c r="W296" s="40">
        <f t="shared" si="89"/>
        <v>3277.7086476478739</v>
      </c>
      <c r="X296" s="40">
        <f t="shared" si="89"/>
        <v>3310.4857341243528</v>
      </c>
      <c r="Y296" s="40">
        <f t="shared" si="89"/>
        <v>3343.5905914655964</v>
      </c>
      <c r="Z296" s="40">
        <f>Y296*(1+$F$288)</f>
        <v>3377.0264973802523</v>
      </c>
      <c r="AA296" s="40">
        <f t="shared" si="89"/>
        <v>3410.7967623540549</v>
      </c>
      <c r="AB296" s="40">
        <f t="shared" si="89"/>
        <v>3444.9047299775953</v>
      </c>
      <c r="AC296" s="40">
        <f t="shared" si="89"/>
        <v>3479.3537772773711</v>
      </c>
      <c r="AD296" s="40">
        <f t="shared" si="89"/>
        <v>3514.1473150501447</v>
      </c>
      <c r="AE296" s="40">
        <f t="shared" si="89"/>
        <v>3549.2887882006462</v>
      </c>
      <c r="AF296" s="40">
        <f t="shared" si="89"/>
        <v>3584.7816760826527</v>
      </c>
      <c r="AG296" s="40">
        <f t="shared" si="89"/>
        <v>3620.6294928434791</v>
      </c>
      <c r="AH296" s="40">
        <f t="shared" si="89"/>
        <v>3656.8357877719141</v>
      </c>
      <c r="AI296" s="40">
        <f t="shared" si="89"/>
        <v>3693.4041456496334</v>
      </c>
    </row>
    <row r="301" spans="1:35" x14ac:dyDescent="0.3">
      <c r="A301" s="1" t="s">
        <v>106</v>
      </c>
    </row>
  </sheetData>
  <pageMargins left="0.7" right="0.7" top="0.75" bottom="0.75" header="0.3" footer="0.3"/>
  <pageSetup paperSize="9" orientation="portrai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tabColor rgb="FF00B0F0"/>
  </sheetPr>
  <dimension ref="A1:AI79"/>
  <sheetViews>
    <sheetView workbookViewId="0"/>
  </sheetViews>
  <sheetFormatPr defaultColWidth="8.77734375" defaultRowHeight="14.4" x14ac:dyDescent="0.3"/>
  <cols>
    <col min="1" max="4" width="2.33203125" customWidth="1"/>
    <col min="5" max="5" width="61.6640625" bestFit="1" customWidth="1"/>
    <col min="6" max="6" width="13.33203125" bestFit="1" customWidth="1"/>
    <col min="7" max="7" width="51.44140625" bestFit="1" customWidth="1"/>
    <col min="8" max="8" width="11.44140625" bestFit="1" customWidth="1"/>
    <col min="9" max="9" width="3.33203125" customWidth="1"/>
  </cols>
  <sheetData>
    <row r="1" spans="1:7" ht="25.8" x14ac:dyDescent="0.3">
      <c r="A1" s="6" t="str">
        <f ca="1">MID(CELL("filename",A1),FIND("]",CELL("filename",A1))+1,255)</f>
        <v>Carbon Analysis &amp; Existing Fuel</v>
      </c>
    </row>
    <row r="3" spans="1:7" x14ac:dyDescent="0.3">
      <c r="E3" s="10" t="str">
        <f>'Plant Expenditure and Info'!E7</f>
        <v>Currency</v>
      </c>
      <c r="F3" s="10" t="str">
        <f>'Plant Expenditure and Info'!F7</f>
        <v>£</v>
      </c>
    </row>
    <row r="4" spans="1:7" x14ac:dyDescent="0.3">
      <c r="E4" s="10" t="str">
        <f>General!E43</f>
        <v>Number of months in a year</v>
      </c>
      <c r="F4" s="10">
        <f>General!F43</f>
        <v>12</v>
      </c>
      <c r="G4" s="10" t="str">
        <f>General!G43</f>
        <v>months</v>
      </c>
    </row>
    <row r="5" spans="1:7" x14ac:dyDescent="0.3">
      <c r="E5" s="10" t="str">
        <f>General!E42</f>
        <v>Lifespan</v>
      </c>
      <c r="F5" s="10">
        <f>General!F42</f>
        <v>25</v>
      </c>
      <c r="G5" s="10" t="str">
        <f>General!G42</f>
        <v>years</v>
      </c>
    </row>
    <row r="7" spans="1:7" x14ac:dyDescent="0.3">
      <c r="E7" s="10" t="str">
        <f>General!E27</f>
        <v xml:space="preserve">Fuel used to meet power demands - commercial </v>
      </c>
      <c r="F7" s="10" t="str">
        <f>General!F27</f>
        <v>Kerosene</v>
      </c>
    </row>
    <row r="8" spans="1:7" x14ac:dyDescent="0.3">
      <c r="E8" s="10" t="str">
        <f>General!E28</f>
        <v>Litres of fuel used per day</v>
      </c>
      <c r="F8" s="10">
        <f>General!F28</f>
        <v>15</v>
      </c>
      <c r="G8" s="10" t="str">
        <f>General!G28</f>
        <v>litres/month/property or kg/month/property</v>
      </c>
    </row>
    <row r="9" spans="1:7" x14ac:dyDescent="0.3">
      <c r="E9" s="10" t="str">
        <f>General!E29</f>
        <v>Cost of fuel</v>
      </c>
      <c r="F9" s="10">
        <f>General!F29</f>
        <v>20</v>
      </c>
      <c r="G9" s="10" t="str">
        <f>General!G29</f>
        <v>£ per property /month</v>
      </c>
    </row>
    <row r="10" spans="1:7" x14ac:dyDescent="0.3">
      <c r="E10" s="10" t="str">
        <f>General!E22</f>
        <v>Number of commercial properties to be connected by the microgrid</v>
      </c>
      <c r="F10" s="10">
        <f>General!F22</f>
        <v>12</v>
      </c>
      <c r="G10" s="10"/>
    </row>
    <row r="12" spans="1:7" x14ac:dyDescent="0.3">
      <c r="E12" s="10" t="str">
        <f>General!E31</f>
        <v>Fuel used to meet power demands - residential</v>
      </c>
      <c r="F12" s="10" t="str">
        <f>General!F31</f>
        <v>Kerosene</v>
      </c>
    </row>
    <row r="13" spans="1:7" x14ac:dyDescent="0.3">
      <c r="E13" s="10" t="str">
        <f>General!E32</f>
        <v>Litres of fuel used per day</v>
      </c>
      <c r="F13" s="10">
        <f>General!F32</f>
        <v>15</v>
      </c>
      <c r="G13" s="10" t="str">
        <f>General!G32</f>
        <v>litres/month/home or kg/month/home</v>
      </c>
    </row>
    <row r="14" spans="1:7" x14ac:dyDescent="0.3">
      <c r="E14" s="10" t="str">
        <f>General!E33</f>
        <v>Cost of fuel</v>
      </c>
      <c r="F14" s="10">
        <f>General!F33</f>
        <v>20</v>
      </c>
      <c r="G14" s="10" t="str">
        <f>General!G33</f>
        <v>£ per property/month</v>
      </c>
    </row>
    <row r="15" spans="1:7" x14ac:dyDescent="0.3">
      <c r="E15" s="10" t="str">
        <f>General!E19</f>
        <v>Number of homes to be connected to the microgrid</v>
      </c>
      <c r="F15" s="10">
        <f>General!F19</f>
        <v>30</v>
      </c>
      <c r="G15" s="10"/>
    </row>
    <row r="17" spans="4:7" x14ac:dyDescent="0.3">
      <c r="E17" s="10" t="str">
        <f>'CO2 inputs'!E12</f>
        <v>Diesel</v>
      </c>
      <c r="F17" s="10">
        <f>'CO2 inputs'!F12</f>
        <v>2.6869999999999998</v>
      </c>
      <c r="G17" s="10" t="str">
        <f>'CO2 inputs'!G12</f>
        <v>kg CO2e/litre</v>
      </c>
    </row>
    <row r="18" spans="4:7" x14ac:dyDescent="0.3">
      <c r="E18" s="10" t="str">
        <f>'CO2 inputs'!E13</f>
        <v>Wood logs</v>
      </c>
      <c r="F18" s="10">
        <f>'CO2 inputs'!F13</f>
        <v>52.14</v>
      </c>
      <c r="G18" s="10" t="str">
        <f>'CO2 inputs'!G13</f>
        <v>kg CO2e/tonne</v>
      </c>
    </row>
    <row r="19" spans="4:7" x14ac:dyDescent="0.3">
      <c r="E19" s="10" t="str">
        <f>'CO2 inputs'!E14</f>
        <v>Kerosene</v>
      </c>
      <c r="F19" s="10">
        <f>'CO2 inputs'!F14</f>
        <v>0.26</v>
      </c>
      <c r="G19" s="10" t="str">
        <f>'CO2 inputs'!G14</f>
        <v>kg CO2e/kWh</v>
      </c>
    </row>
    <row r="20" spans="4:7" x14ac:dyDescent="0.3">
      <c r="E20" s="10" t="str">
        <f>'CO2 inputs'!E15</f>
        <v>kWh produced per litre of kerosene burned</v>
      </c>
      <c r="F20" s="10">
        <f>'CO2 inputs'!F15</f>
        <v>10.35</v>
      </c>
      <c r="G20" s="10" t="str">
        <f>'CO2 inputs'!G15</f>
        <v>kWh/litre</v>
      </c>
    </row>
    <row r="23" spans="4:7" x14ac:dyDescent="0.3">
      <c r="D23" s="1" t="s">
        <v>234</v>
      </c>
    </row>
    <row r="24" spans="4:7" x14ac:dyDescent="0.3">
      <c r="E24" t="s">
        <v>208</v>
      </c>
      <c r="F24" s="4">
        <f>IF($F$7="Kerosene",1,0)</f>
        <v>1</v>
      </c>
    </row>
    <row r="25" spans="4:7" x14ac:dyDescent="0.3">
      <c r="E25" t="s">
        <v>214</v>
      </c>
      <c r="F25" s="4">
        <f>IF($F$7="Wood",1,0)</f>
        <v>0</v>
      </c>
    </row>
    <row r="26" spans="4:7" x14ac:dyDescent="0.3">
      <c r="E26" t="s">
        <v>209</v>
      </c>
      <c r="F26" s="4">
        <f>IF($F$7="Diesel Generator",1,0)</f>
        <v>0</v>
      </c>
    </row>
    <row r="28" spans="4:7" x14ac:dyDescent="0.3">
      <c r="E28" t="s">
        <v>210</v>
      </c>
      <c r="F28" s="4">
        <f>IF($F$12="Kerosene",1,0)</f>
        <v>1</v>
      </c>
    </row>
    <row r="29" spans="4:7" x14ac:dyDescent="0.3">
      <c r="E29" t="s">
        <v>213</v>
      </c>
      <c r="F29" s="4">
        <f>IF($F$12="Wood",1,0)</f>
        <v>0</v>
      </c>
    </row>
    <row r="30" spans="4:7" x14ac:dyDescent="0.3">
      <c r="E30" t="s">
        <v>211</v>
      </c>
      <c r="F30" s="4">
        <f>IF($F$12="Diesel Generator",1,0)</f>
        <v>0</v>
      </c>
    </row>
    <row r="32" spans="4:7" x14ac:dyDescent="0.3">
      <c r="E32" t="s">
        <v>212</v>
      </c>
      <c r="F32" s="27">
        <f>IF(F24=1,$F$8*$F$19*$F$20*$F$10*$F$4,0)</f>
        <v>5812.5599999999995</v>
      </c>
      <c r="G32" t="s">
        <v>217</v>
      </c>
    </row>
    <row r="33" spans="5:7" x14ac:dyDescent="0.3">
      <c r="E33" t="s">
        <v>215</v>
      </c>
      <c r="F33" s="27">
        <f>IF(F25=1,$F$8*$F$18*$F$10/1000*$F$4,0)</f>
        <v>0</v>
      </c>
      <c r="G33" t="s">
        <v>217</v>
      </c>
    </row>
    <row r="34" spans="5:7" x14ac:dyDescent="0.3">
      <c r="E34" t="s">
        <v>216</v>
      </c>
      <c r="F34" s="27">
        <f>IF(F26=1,$F$8*$F$17*$F$10*$F$4,0)</f>
        <v>0</v>
      </c>
      <c r="G34" t="s">
        <v>217</v>
      </c>
    </row>
    <row r="35" spans="5:7" x14ac:dyDescent="0.3">
      <c r="F35" s="24"/>
    </row>
    <row r="36" spans="5:7" x14ac:dyDescent="0.3">
      <c r="E36" t="s">
        <v>220</v>
      </c>
      <c r="F36" s="27">
        <f>IF(F28=1,$F$13*$F$19*$F$20*$F$15*$F$4,0)</f>
        <v>14531.400000000001</v>
      </c>
      <c r="G36" t="s">
        <v>217</v>
      </c>
    </row>
    <row r="37" spans="5:7" x14ac:dyDescent="0.3">
      <c r="E37" t="s">
        <v>221</v>
      </c>
      <c r="F37" s="27">
        <f>IF(F29=1,$F$13*$F$18*$F$15/1000*$F$4,0)</f>
        <v>0</v>
      </c>
      <c r="G37" t="s">
        <v>217</v>
      </c>
    </row>
    <row r="38" spans="5:7" x14ac:dyDescent="0.3">
      <c r="E38" t="s">
        <v>222</v>
      </c>
      <c r="F38" s="27">
        <f>IF(F30=1,$F$13*$F$17*$F$15*$F$4,0)</f>
        <v>0</v>
      </c>
      <c r="G38" t="s">
        <v>217</v>
      </c>
    </row>
    <row r="40" spans="5:7" x14ac:dyDescent="0.3">
      <c r="E40" t="s">
        <v>223</v>
      </c>
      <c r="F40" s="27">
        <f>SUM(F32:F34)</f>
        <v>5812.5599999999995</v>
      </c>
      <c r="G40" t="s">
        <v>217</v>
      </c>
    </row>
    <row r="41" spans="5:7" x14ac:dyDescent="0.3">
      <c r="E41" t="s">
        <v>224</v>
      </c>
      <c r="F41" s="27">
        <f>SUM(F36:F38)</f>
        <v>14531.400000000001</v>
      </c>
      <c r="G41" t="s">
        <v>217</v>
      </c>
    </row>
    <row r="43" spans="5:7" x14ac:dyDescent="0.3">
      <c r="E43" t="s">
        <v>225</v>
      </c>
      <c r="F43" s="27">
        <f>F40*$F$5</f>
        <v>145314</v>
      </c>
      <c r="G43" t="s">
        <v>227</v>
      </c>
    </row>
    <row r="44" spans="5:7" x14ac:dyDescent="0.3">
      <c r="E44" t="s">
        <v>226</v>
      </c>
      <c r="F44" s="27">
        <f>F41*$F$5</f>
        <v>363285.00000000006</v>
      </c>
      <c r="G44" t="s">
        <v>227</v>
      </c>
    </row>
    <row r="46" spans="5:7" x14ac:dyDescent="0.3">
      <c r="E46" t="str">
        <f>'CO2 inputs'!E17</f>
        <v xml:space="preserve">Emission from an average car </v>
      </c>
      <c r="F46" s="10">
        <f>'CO2 inputs'!F17</f>
        <v>4600</v>
      </c>
      <c r="G46" s="10" t="str">
        <f>'CO2 inputs'!G17</f>
        <v>kg CO2e</v>
      </c>
    </row>
    <row r="47" spans="5:7" x14ac:dyDescent="0.3">
      <c r="E47" t="s">
        <v>233</v>
      </c>
      <c r="F47" s="27">
        <f>ROUNDUP(SUM(F43:F44)/F46,0)</f>
        <v>111</v>
      </c>
      <c r="G47" t="s">
        <v>245</v>
      </c>
    </row>
    <row r="50" spans="4:35" x14ac:dyDescent="0.3">
      <c r="D50" s="1" t="s">
        <v>238</v>
      </c>
    </row>
    <row r="51" spans="4:35" x14ac:dyDescent="0.3">
      <c r="H51" s="1" t="s">
        <v>275</v>
      </c>
      <c r="J51" s="1">
        <f>Time!F26</f>
        <v>2020</v>
      </c>
      <c r="K51" s="1">
        <f>Time!G26</f>
        <v>2021</v>
      </c>
      <c r="L51" s="1">
        <f>Time!H26</f>
        <v>2022</v>
      </c>
      <c r="M51" s="1">
        <f>Time!I26</f>
        <v>2023</v>
      </c>
      <c r="N51" s="1">
        <f>Time!J26</f>
        <v>2024</v>
      </c>
      <c r="O51" s="1">
        <f>Time!K26</f>
        <v>2025</v>
      </c>
      <c r="P51" s="1">
        <f>Time!L26</f>
        <v>2026</v>
      </c>
      <c r="Q51" s="1">
        <f>Time!M26</f>
        <v>2027</v>
      </c>
      <c r="R51" s="1">
        <f>Time!N26</f>
        <v>2028</v>
      </c>
      <c r="S51" s="1">
        <f>Time!O26</f>
        <v>2029</v>
      </c>
      <c r="T51" s="1">
        <f>Time!P26</f>
        <v>2030</v>
      </c>
      <c r="U51" s="1">
        <f>Time!Q26</f>
        <v>2031</v>
      </c>
      <c r="V51" s="1">
        <f>Time!R26</f>
        <v>2032</v>
      </c>
      <c r="W51" s="1">
        <f>Time!S26</f>
        <v>2033</v>
      </c>
      <c r="X51" s="1">
        <f>Time!T26</f>
        <v>2034</v>
      </c>
      <c r="Y51" s="1">
        <f>Time!U26</f>
        <v>2035</v>
      </c>
      <c r="Z51" s="1">
        <f>Time!V26</f>
        <v>2036</v>
      </c>
      <c r="AA51" s="1">
        <f>Time!W26</f>
        <v>2037</v>
      </c>
      <c r="AB51" s="1">
        <f>Time!X26</f>
        <v>2038</v>
      </c>
      <c r="AC51" s="1">
        <f>Time!Y26</f>
        <v>2039</v>
      </c>
      <c r="AD51" s="1">
        <f>Time!Z26</f>
        <v>2040</v>
      </c>
      <c r="AE51" s="1">
        <f>Time!AA26</f>
        <v>2041</v>
      </c>
      <c r="AF51" s="1">
        <f>Time!AB26</f>
        <v>2042</v>
      </c>
      <c r="AG51" s="1">
        <f>Time!AC26</f>
        <v>2043</v>
      </c>
      <c r="AH51" s="1">
        <f>Time!AD26</f>
        <v>2044</v>
      </c>
      <c r="AI51" s="1">
        <f>Time!AE26</f>
        <v>2045</v>
      </c>
    </row>
    <row r="52" spans="4:35" x14ac:dyDescent="0.3">
      <c r="J52" s="1"/>
      <c r="K52" s="1"/>
      <c r="L52" s="1"/>
      <c r="M52" s="1"/>
      <c r="N52" s="1"/>
      <c r="O52" s="1"/>
      <c r="P52" s="1"/>
      <c r="Q52" s="1"/>
      <c r="R52" s="1"/>
      <c r="S52" s="1"/>
      <c r="T52" s="1"/>
      <c r="U52" s="1"/>
      <c r="V52" s="1"/>
      <c r="W52" s="1"/>
      <c r="X52" s="1"/>
      <c r="Y52" s="1"/>
      <c r="Z52" s="1"/>
      <c r="AA52" s="1"/>
      <c r="AB52" s="1"/>
      <c r="AC52" s="1"/>
      <c r="AD52" s="1"/>
      <c r="AE52" s="1"/>
      <c r="AF52" s="1"/>
      <c r="AG52" s="1"/>
      <c r="AH52" s="1"/>
      <c r="AI52" s="1"/>
    </row>
    <row r="53" spans="4:35" x14ac:dyDescent="0.3">
      <c r="E53" s="10" t="s">
        <v>235</v>
      </c>
      <c r="G53" s="10" t="str">
        <f>'CO2 inputs'!G10</f>
        <v>kg CO2e/kWh</v>
      </c>
      <c r="J53" s="10">
        <f>'CO2 inputs'!L10</f>
        <v>0.5</v>
      </c>
      <c r="K53" s="10">
        <f>'CO2 inputs'!M10</f>
        <v>0.5</v>
      </c>
      <c r="L53" s="10">
        <f>'CO2 inputs'!N10</f>
        <v>0.5</v>
      </c>
      <c r="M53" s="10">
        <f>'CO2 inputs'!O10</f>
        <v>0.5</v>
      </c>
      <c r="N53" s="10">
        <f>'CO2 inputs'!P10</f>
        <v>0.5</v>
      </c>
      <c r="O53" s="10">
        <f>'CO2 inputs'!Q10</f>
        <v>0.5</v>
      </c>
      <c r="P53" s="10">
        <f>'CO2 inputs'!R10</f>
        <v>0.5</v>
      </c>
      <c r="Q53" s="10">
        <f>'CO2 inputs'!S10</f>
        <v>0.5</v>
      </c>
      <c r="R53" s="10">
        <f>'CO2 inputs'!T10</f>
        <v>0.5</v>
      </c>
      <c r="S53" s="10">
        <f>'CO2 inputs'!U10</f>
        <v>0.5</v>
      </c>
      <c r="T53" s="10">
        <f>'CO2 inputs'!V10</f>
        <v>0.5</v>
      </c>
      <c r="U53" s="10">
        <f>'CO2 inputs'!W10</f>
        <v>0.5</v>
      </c>
      <c r="V53" s="10">
        <f>'CO2 inputs'!X10</f>
        <v>0.5</v>
      </c>
      <c r="W53" s="10">
        <f>'CO2 inputs'!Y10</f>
        <v>0.5</v>
      </c>
      <c r="X53" s="10">
        <f>'CO2 inputs'!Z10</f>
        <v>0.5</v>
      </c>
      <c r="Y53" s="10">
        <f>'CO2 inputs'!AA10</f>
        <v>0.5</v>
      </c>
      <c r="Z53" s="10">
        <f>'CO2 inputs'!AB10</f>
        <v>0.5</v>
      </c>
      <c r="AA53" s="10">
        <f>'CO2 inputs'!AC10</f>
        <v>0.5</v>
      </c>
      <c r="AB53" s="10">
        <f>'CO2 inputs'!AD10</f>
        <v>0.5</v>
      </c>
      <c r="AC53" s="10">
        <f>'CO2 inputs'!AE10</f>
        <v>0.5</v>
      </c>
      <c r="AD53" s="10">
        <f>'CO2 inputs'!AF10</f>
        <v>0.5</v>
      </c>
      <c r="AE53" s="10">
        <f>'CO2 inputs'!AG10</f>
        <v>0.5</v>
      </c>
      <c r="AF53" s="10">
        <f>'CO2 inputs'!AH10</f>
        <v>0.5</v>
      </c>
      <c r="AG53" s="10">
        <f>'CO2 inputs'!AI10</f>
        <v>0.5</v>
      </c>
      <c r="AH53" s="10">
        <f>'CO2 inputs'!AJ10</f>
        <v>0.5</v>
      </c>
      <c r="AI53" s="10">
        <f>'CO2 inputs'!AK10</f>
        <v>0.5</v>
      </c>
    </row>
    <row r="54" spans="4:35" x14ac:dyDescent="0.3">
      <c r="E54" t="str">
        <f>Energy!E51</f>
        <v>Total Energy consumed</v>
      </c>
      <c r="G54" t="str">
        <f>Energy!G51</f>
        <v>kWh</v>
      </c>
      <c r="J54" s="20">
        <f>Energy!J51</f>
        <v>0</v>
      </c>
      <c r="K54" s="20">
        <f>Energy!K51</f>
        <v>50400</v>
      </c>
      <c r="L54" s="20">
        <f>Energy!L51</f>
        <v>50904</v>
      </c>
      <c r="M54" s="20">
        <f>Energy!M51</f>
        <v>51413.04</v>
      </c>
      <c r="N54" s="20">
        <f>Energy!N51</f>
        <v>51927.170399999995</v>
      </c>
      <c r="O54" s="20">
        <f>Energy!O51</f>
        <v>52446.442104000002</v>
      </c>
      <c r="P54" s="20">
        <f>Energy!P51</f>
        <v>52970.906525040002</v>
      </c>
      <c r="Q54" s="20">
        <f>Energy!Q51</f>
        <v>53500.615590290399</v>
      </c>
      <c r="R54" s="20">
        <f>Energy!R51</f>
        <v>54035.621746193297</v>
      </c>
      <c r="S54" s="20">
        <f>Energy!S51</f>
        <v>54575.977963655234</v>
      </c>
      <c r="T54" s="20">
        <f>Energy!T51</f>
        <v>55121.737743291786</v>
      </c>
      <c r="U54" s="20">
        <f>Energy!U51</f>
        <v>55672.955120724706</v>
      </c>
      <c r="V54" s="20">
        <f>Energy!V51</f>
        <v>56229.684671931958</v>
      </c>
      <c r="W54" s="20">
        <f>Energy!W51</f>
        <v>56791.981518651271</v>
      </c>
      <c r="X54" s="20">
        <f>Energy!X51</f>
        <v>57359.901333837784</v>
      </c>
      <c r="Y54" s="20">
        <f>Energy!Y51</f>
        <v>57933.500347176159</v>
      </c>
      <c r="Z54" s="20">
        <f>Energy!Z51</f>
        <v>58512.835350647933</v>
      </c>
      <c r="AA54" s="20">
        <f>Energy!AA51</f>
        <v>59097.963704154405</v>
      </c>
      <c r="AB54" s="20">
        <f>Energy!AB51</f>
        <v>59688.943341195947</v>
      </c>
      <c r="AC54" s="20">
        <f>Energy!AC51</f>
        <v>60285.832774607909</v>
      </c>
      <c r="AD54" s="20">
        <f>Energy!AD51</f>
        <v>60888.691102353987</v>
      </c>
      <c r="AE54" s="20">
        <f>Energy!AE51</f>
        <v>61497.578013377526</v>
      </c>
      <c r="AF54" s="20">
        <f>Energy!AF51</f>
        <v>62112.553793511303</v>
      </c>
      <c r="AG54" s="20">
        <f>Energy!AG51</f>
        <v>62733.679331446416</v>
      </c>
      <c r="AH54" s="20">
        <f>Energy!AH51</f>
        <v>63361.016124760878</v>
      </c>
      <c r="AI54" s="20">
        <f>Energy!AI51</f>
        <v>63994.626286008483</v>
      </c>
    </row>
    <row r="55" spans="4:35" ht="15.6" x14ac:dyDescent="0.3">
      <c r="E55" t="s">
        <v>237</v>
      </c>
      <c r="G55" t="s">
        <v>232</v>
      </c>
      <c r="H55" s="24">
        <f>SUM(J55:AI55)</f>
        <v>711728.62744342873</v>
      </c>
      <c r="J55" s="39">
        <f>J54*J53</f>
        <v>0</v>
      </c>
      <c r="K55" s="39">
        <f t="shared" ref="K55:AI55" si="0">K54*K53</f>
        <v>25200</v>
      </c>
      <c r="L55" s="39">
        <f t="shared" si="0"/>
        <v>25452</v>
      </c>
      <c r="M55" s="39">
        <f t="shared" si="0"/>
        <v>25706.52</v>
      </c>
      <c r="N55" s="39">
        <f t="shared" si="0"/>
        <v>25963.585199999998</v>
      </c>
      <c r="O55" s="39">
        <f t="shared" si="0"/>
        <v>26223.221052000001</v>
      </c>
      <c r="P55" s="39">
        <f t="shared" si="0"/>
        <v>26485.453262520001</v>
      </c>
      <c r="Q55" s="39">
        <f t="shared" si="0"/>
        <v>26750.3077951452</v>
      </c>
      <c r="R55" s="39">
        <f t="shared" si="0"/>
        <v>27017.810873096649</v>
      </c>
      <c r="S55" s="39">
        <f t="shared" si="0"/>
        <v>27287.988981827617</v>
      </c>
      <c r="T55" s="39">
        <f t="shared" si="0"/>
        <v>27560.868871645893</v>
      </c>
      <c r="U55" s="39">
        <f t="shared" si="0"/>
        <v>27836.477560362353</v>
      </c>
      <c r="V55" s="39">
        <f t="shared" si="0"/>
        <v>28114.842335965979</v>
      </c>
      <c r="W55" s="39">
        <f t="shared" si="0"/>
        <v>28395.990759325636</v>
      </c>
      <c r="X55" s="39">
        <f t="shared" si="0"/>
        <v>28679.950666918892</v>
      </c>
      <c r="Y55" s="39">
        <f t="shared" si="0"/>
        <v>28966.75017358808</v>
      </c>
      <c r="Z55" s="39">
        <f t="shared" si="0"/>
        <v>29256.417675323966</v>
      </c>
      <c r="AA55" s="39">
        <f t="shared" si="0"/>
        <v>29548.981852077202</v>
      </c>
      <c r="AB55" s="39">
        <f t="shared" si="0"/>
        <v>29844.471670597974</v>
      </c>
      <c r="AC55" s="39">
        <f t="shared" si="0"/>
        <v>30142.916387303954</v>
      </c>
      <c r="AD55" s="39">
        <f t="shared" si="0"/>
        <v>30444.345551176993</v>
      </c>
      <c r="AE55" s="39">
        <f t="shared" si="0"/>
        <v>30748.789006688763</v>
      </c>
      <c r="AF55" s="39">
        <f t="shared" si="0"/>
        <v>31056.276896755651</v>
      </c>
      <c r="AG55" s="39">
        <f t="shared" si="0"/>
        <v>31366.839665723208</v>
      </c>
      <c r="AH55" s="39">
        <f t="shared" si="0"/>
        <v>31680.508062380439</v>
      </c>
      <c r="AI55" s="39">
        <f t="shared" si="0"/>
        <v>31997.313143004241</v>
      </c>
    </row>
    <row r="57" spans="4:35" x14ac:dyDescent="0.3">
      <c r="E57" t="s">
        <v>239</v>
      </c>
      <c r="F57" s="26">
        <f>ROUNDUP(H55/F46,0)</f>
        <v>155</v>
      </c>
      <c r="G57" t="s">
        <v>245</v>
      </c>
    </row>
    <row r="61" spans="4:35" x14ac:dyDescent="0.3">
      <c r="D61" s="1" t="s">
        <v>246</v>
      </c>
    </row>
    <row r="63" spans="4:35" x14ac:dyDescent="0.3">
      <c r="E63" t="str">
        <f>E7</f>
        <v xml:space="preserve">Fuel used to meet power demands - commercial </v>
      </c>
      <c r="F63" t="str">
        <f>F7</f>
        <v>Kerosene</v>
      </c>
    </row>
    <row r="64" spans="4:35" x14ac:dyDescent="0.3">
      <c r="E64" t="s">
        <v>247</v>
      </c>
      <c r="F64" s="23">
        <f>F10*F9*F8*F4</f>
        <v>43200</v>
      </c>
      <c r="G64" t="str">
        <f>$F$3&amp;"/year"</f>
        <v>£/year</v>
      </c>
    </row>
    <row r="66" spans="5:35" x14ac:dyDescent="0.3">
      <c r="E66" t="str">
        <f>E12</f>
        <v>Fuel used to meet power demands - residential</v>
      </c>
      <c r="F66" t="str">
        <f>F12</f>
        <v>Kerosene</v>
      </c>
    </row>
    <row r="67" spans="5:35" x14ac:dyDescent="0.3">
      <c r="E67" t="s">
        <v>247</v>
      </c>
      <c r="F67" s="23">
        <f>F13*F14*F15*F4</f>
        <v>108000</v>
      </c>
      <c r="G67" t="str">
        <f>$F$3&amp;"/year"</f>
        <v>£/year</v>
      </c>
    </row>
    <row r="69" spans="5:35" x14ac:dyDescent="0.3">
      <c r="E69" t="s">
        <v>248</v>
      </c>
      <c r="F69" s="23">
        <f>F64*F5</f>
        <v>1080000</v>
      </c>
      <c r="G69" t="str">
        <f>$F$3</f>
        <v>£</v>
      </c>
    </row>
    <row r="70" spans="5:35" x14ac:dyDescent="0.3">
      <c r="E70" t="s">
        <v>249</v>
      </c>
      <c r="F70" s="27">
        <f>F67*F5</f>
        <v>2700000</v>
      </c>
      <c r="G70" t="str">
        <f>$F$3</f>
        <v>£</v>
      </c>
    </row>
    <row r="72" spans="5:35" x14ac:dyDescent="0.3">
      <c r="E72" s="10" t="str">
        <f>Cashflow!E97</f>
        <v>Total Option 1 revenue</v>
      </c>
      <c r="F72" s="10"/>
      <c r="G72" s="10" t="str">
        <f>Cashflow!G97</f>
        <v>£/year</v>
      </c>
      <c r="H72" s="44">
        <f>Cashflow!H97</f>
        <v>63503.999999999971</v>
      </c>
      <c r="I72" s="10">
        <f>Cashflow!I97</f>
        <v>0</v>
      </c>
      <c r="J72" s="10">
        <f>Cashflow!J97</f>
        <v>0</v>
      </c>
      <c r="K72" s="10">
        <f>Cashflow!K97</f>
        <v>2520</v>
      </c>
      <c r="L72" s="10">
        <f>Cashflow!L97</f>
        <v>2520</v>
      </c>
      <c r="M72" s="10">
        <f>Cashflow!M97</f>
        <v>2520</v>
      </c>
      <c r="N72" s="10">
        <f>Cashflow!N97</f>
        <v>2520</v>
      </c>
      <c r="O72" s="10">
        <f>Cashflow!O97</f>
        <v>2520</v>
      </c>
      <c r="P72" s="10">
        <f>Cashflow!P97</f>
        <v>2545.1999999999998</v>
      </c>
      <c r="Q72" s="10">
        <f>Cashflow!Q97</f>
        <v>2545.1999999999998</v>
      </c>
      <c r="R72" s="10">
        <f>Cashflow!R97</f>
        <v>2545.1999999999998</v>
      </c>
      <c r="S72" s="10">
        <f>Cashflow!S97</f>
        <v>2545.1999999999998</v>
      </c>
      <c r="T72" s="10">
        <f>Cashflow!T97</f>
        <v>2545.1999999999998</v>
      </c>
      <c r="U72" s="10">
        <f>Cashflow!U97</f>
        <v>2545.1999999999998</v>
      </c>
      <c r="V72" s="10">
        <f>Cashflow!V97</f>
        <v>2545.1999999999998</v>
      </c>
      <c r="W72" s="10">
        <f>Cashflow!W97</f>
        <v>2545.1999999999998</v>
      </c>
      <c r="X72" s="10">
        <f>Cashflow!X97</f>
        <v>2545.1999999999998</v>
      </c>
      <c r="Y72" s="10">
        <f>Cashflow!Y97</f>
        <v>2545.1999999999998</v>
      </c>
      <c r="Z72" s="10">
        <f>Cashflow!Z97</f>
        <v>2545.1999999999998</v>
      </c>
      <c r="AA72" s="10">
        <f>Cashflow!AA97</f>
        <v>2545.1999999999998</v>
      </c>
      <c r="AB72" s="10">
        <f>Cashflow!AB97</f>
        <v>2545.1999999999998</v>
      </c>
      <c r="AC72" s="10">
        <f>Cashflow!AC97</f>
        <v>2545.1999999999998</v>
      </c>
      <c r="AD72" s="10">
        <f>Cashflow!AD97</f>
        <v>2545.1999999999998</v>
      </c>
      <c r="AE72" s="10">
        <f>Cashflow!AE97</f>
        <v>2545.1999999999998</v>
      </c>
      <c r="AF72" s="10">
        <f>Cashflow!AF97</f>
        <v>2545.1999999999998</v>
      </c>
      <c r="AG72" s="10">
        <f>Cashflow!AG97</f>
        <v>2545.1999999999998</v>
      </c>
      <c r="AH72" s="10">
        <f>Cashflow!AH97</f>
        <v>2545.1999999999998</v>
      </c>
      <c r="AI72" s="10">
        <f>Cashflow!AI97</f>
        <v>2545.1999999999998</v>
      </c>
    </row>
    <row r="73" spans="5:35" x14ac:dyDescent="0.3">
      <c r="E73" s="10" t="str">
        <f>Cashflow!E136</f>
        <v>Total Option 2 revenue</v>
      </c>
      <c r="F73" s="10"/>
      <c r="G73" s="10" t="str">
        <f>Cashflow!G136</f>
        <v>£/year</v>
      </c>
      <c r="H73" s="44">
        <f>Cashflow!H136</f>
        <v>292601.5024186754</v>
      </c>
      <c r="I73" s="10">
        <f>Cashflow!I136</f>
        <v>0</v>
      </c>
      <c r="J73" s="10">
        <f>Cashflow!J136</f>
        <v>0</v>
      </c>
      <c r="K73" s="10">
        <f>Cashflow!K136</f>
        <v>10080</v>
      </c>
      <c r="L73" s="10">
        <f>Cashflow!L136</f>
        <v>10180.799999999999</v>
      </c>
      <c r="M73" s="10">
        <f>Cashflow!M136</f>
        <v>10282.608</v>
      </c>
      <c r="N73" s="10">
        <f>Cashflow!N136</f>
        <v>10385.434080000001</v>
      </c>
      <c r="O73" s="10">
        <f>Cashflow!O136</f>
        <v>10489.2884208</v>
      </c>
      <c r="P73" s="10">
        <f>Cashflow!P136</f>
        <v>10700.12311805808</v>
      </c>
      <c r="Q73" s="10">
        <f>Cashflow!Q136</f>
        <v>10807.12434923866</v>
      </c>
      <c r="R73" s="10">
        <f>Cashflow!R136</f>
        <v>10915.195592731048</v>
      </c>
      <c r="S73" s="10">
        <f>Cashflow!S136</f>
        <v>11024.347548658357</v>
      </c>
      <c r="T73" s="10">
        <f>Cashflow!T136</f>
        <v>11134.591024144942</v>
      </c>
      <c r="U73" s="10">
        <f>Cashflow!U136</f>
        <v>11414.625988402186</v>
      </c>
      <c r="V73" s="10">
        <f>Cashflow!V136</f>
        <v>11528.772248286208</v>
      </c>
      <c r="W73" s="10">
        <f>Cashflow!W136</f>
        <v>11644.059970769071</v>
      </c>
      <c r="X73" s="10">
        <f>Cashflow!X136</f>
        <v>11760.500570476761</v>
      </c>
      <c r="Y73" s="10">
        <f>Cashflow!Y136</f>
        <v>11878.10557618153</v>
      </c>
      <c r="Z73" s="10">
        <f>Cashflow!Z136</f>
        <v>12176.839931422492</v>
      </c>
      <c r="AA73" s="10">
        <f>Cashflow!AA136</f>
        <v>12298.608330736717</v>
      </c>
      <c r="AB73" s="10">
        <f>Cashflow!AB136</f>
        <v>12421.594414044084</v>
      </c>
      <c r="AC73" s="10">
        <f>Cashflow!AC136</f>
        <v>12545.810358184526</v>
      </c>
      <c r="AD73" s="10">
        <f>Cashflow!AD136</f>
        <v>12671.268461766369</v>
      </c>
      <c r="AE73" s="10">
        <f>Cashflow!AE136</f>
        <v>12989.950863579794</v>
      </c>
      <c r="AF73" s="10">
        <f>Cashflow!AF136</f>
        <v>13119.850372215593</v>
      </c>
      <c r="AG73" s="10">
        <f>Cashflow!AG136</f>
        <v>13251.048875937748</v>
      </c>
      <c r="AH73" s="10">
        <f>Cashflow!AH136</f>
        <v>13383.559364697125</v>
      </c>
      <c r="AI73" s="10">
        <f>Cashflow!AI136</f>
        <v>13517.394958344097</v>
      </c>
    </row>
    <row r="74" spans="5:35" x14ac:dyDescent="0.3">
      <c r="E74" s="10" t="str">
        <f>Cashflow!E227</f>
        <v>Total Option 3 revenue</v>
      </c>
      <c r="F74" s="10"/>
      <c r="G74" s="10" t="str">
        <f>Cashflow!G227</f>
        <v>£/year</v>
      </c>
      <c r="H74" s="44">
        <f>Cashflow!H227</f>
        <v>506071.21778568934</v>
      </c>
      <c r="I74" s="10">
        <f>Cashflow!I227</f>
        <v>0</v>
      </c>
      <c r="J74" s="10">
        <f>Cashflow!J227</f>
        <v>0</v>
      </c>
      <c r="K74" s="10">
        <f>Cashflow!K227</f>
        <v>18748.8</v>
      </c>
      <c r="L74" s="10">
        <f>Cashflow!L227</f>
        <v>18824.400000000001</v>
      </c>
      <c r="M74" s="10">
        <f>Cashflow!M227</f>
        <v>18900.756000000001</v>
      </c>
      <c r="N74" s="10">
        <f>Cashflow!N227</f>
        <v>18977.87556</v>
      </c>
      <c r="O74" s="10">
        <f>Cashflow!O227</f>
        <v>19055.766315599998</v>
      </c>
      <c r="P74" s="10">
        <f>Cashflow!P227</f>
        <v>19325.780338543558</v>
      </c>
      <c r="Q74" s="10">
        <f>Cashflow!Q227</f>
        <v>19406.031261928994</v>
      </c>
      <c r="R74" s="10">
        <f>Cashflow!R227</f>
        <v>19487.084694548284</v>
      </c>
      <c r="S74" s="10">
        <f>Cashflow!S227</f>
        <v>19568.948661493767</v>
      </c>
      <c r="T74" s="10">
        <f>Cashflow!T227</f>
        <v>19651.631268108707</v>
      </c>
      <c r="U74" s="10">
        <f>Cashflow!U227</f>
        <v>20031.167811301639</v>
      </c>
      <c r="V74" s="10">
        <f>Cashflow!V227</f>
        <v>20116.777506214654</v>
      </c>
      <c r="W74" s="10">
        <f>Cashflow!W227</f>
        <v>20203.243298076799</v>
      </c>
      <c r="X74" s="10">
        <f>Cashflow!X227</f>
        <v>20290.573747857568</v>
      </c>
      <c r="Y74" s="10">
        <f>Cashflow!Y227</f>
        <v>20378.777502136145</v>
      </c>
      <c r="Z74" s="10">
        <f>Cashflow!Z227</f>
        <v>20774.881243366865</v>
      </c>
      <c r="AA74" s="10">
        <f>Cashflow!AA227</f>
        <v>20866.207542852535</v>
      </c>
      <c r="AB74" s="10">
        <f>Cashflow!AB227</f>
        <v>20958.44710533306</v>
      </c>
      <c r="AC74" s="10">
        <f>Cashflow!AC227</f>
        <v>21051.609063438387</v>
      </c>
      <c r="AD74" s="10">
        <f>Cashflow!AD227</f>
        <v>21145.702641124772</v>
      </c>
      <c r="AE74" s="10">
        <f>Cashflow!AE227</f>
        <v>21466.621216850541</v>
      </c>
      <c r="AF74" s="10">
        <f>Cashflow!AF227</f>
        <v>21563.017439128125</v>
      </c>
      <c r="AG74" s="10">
        <f>Cashflow!AG227</f>
        <v>21660.377623628487</v>
      </c>
      <c r="AH74" s="10">
        <f>Cashflow!AH227</f>
        <v>21758.711409973854</v>
      </c>
      <c r="AI74" s="10">
        <f>Cashflow!AI227</f>
        <v>21858.028534182671</v>
      </c>
    </row>
    <row r="77" spans="5:35" x14ac:dyDescent="0.3">
      <c r="E77" s="35" t="s">
        <v>255</v>
      </c>
      <c r="F77" s="27">
        <f>SUM($F$69:$F$70)-H72</f>
        <v>3716496</v>
      </c>
      <c r="G77" t="str">
        <f>$F$3</f>
        <v>£</v>
      </c>
    </row>
    <row r="78" spans="5:35" x14ac:dyDescent="0.3">
      <c r="E78" s="35" t="s">
        <v>256</v>
      </c>
      <c r="F78" s="27">
        <f>SUM($F$69:$F$70)-H73</f>
        <v>3487398.4975813245</v>
      </c>
      <c r="G78" t="str">
        <f>$F$3</f>
        <v>£</v>
      </c>
    </row>
    <row r="79" spans="5:35" x14ac:dyDescent="0.3">
      <c r="E79" s="35" t="s">
        <v>257</v>
      </c>
      <c r="F79" s="27">
        <f>SUM($F$69:$F$70)-H74</f>
        <v>3273928.7822143105</v>
      </c>
      <c r="G79" t="str">
        <f>$F$3</f>
        <v>£</v>
      </c>
    </row>
  </sheetData>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Cover Sheet</vt:lpstr>
      <vt:lpstr>Notes</vt:lpstr>
      <vt:lpstr>Inputs&gt;&gt;</vt:lpstr>
      <vt:lpstr>General</vt:lpstr>
      <vt:lpstr>Plant Expenditure and Info</vt:lpstr>
      <vt:lpstr>Revenue &amp; Electricity Consump</vt:lpstr>
      <vt:lpstr>CO2 inputs</vt:lpstr>
      <vt:lpstr>Output&gt;&gt;</vt:lpstr>
      <vt:lpstr>Results</vt:lpstr>
      <vt:lpstr>Calculation&gt;&gt;</vt:lpstr>
      <vt:lpstr>Time</vt:lpstr>
      <vt:lpstr>Energy</vt:lpstr>
      <vt:lpstr>Cashflow</vt:lpstr>
      <vt:lpstr>Carbon Analysis &amp; Existing Fuel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2021-10-17T19:45:31Z</dcterms:modified>
</cp:coreProperties>
</file>